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2d322c655a41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geHealth" sheetId="1" r:id="R8381309851a84d11"/>
    <x:sheet xmlns:r="http://schemas.openxmlformats.org/officeDocument/2006/relationships" name="LevelExperience" sheetId="2" r:id="R009a9d71918e45cf"/>
    <x:sheet xmlns:r="http://schemas.openxmlformats.org/officeDocument/2006/relationships" name="GoldEconomy" sheetId="3" r:id="R53fc0a67481f42ad"/>
    <x:sheet xmlns:r="http://schemas.openxmlformats.org/officeDocument/2006/relationships" name="Analysis" sheetId="4" r:id="R2052ee9857d14d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name val="Malgun Gothic"/>
    </x:font>
    <x:font>
      <x:b/>
      <x:sz val="11"/>
      <x:color rgb="FFFFFFFF"/>
      <x:name val="Malgun Gothic"/>
    </x:font>
    <x:font>
      <x:b/>
      <x:sz val="16"/>
      <x:color rgb="FFFFFFFF"/>
      <x:name val="Malgun Gothic"/>
    </x:font>
  </x:fonts>
  <x:fills count="5">
    <x:fill>
      <x:patternFill patternType="none"/>
    </x:fill>
    <x:fill>
      <x:patternFill patternType="gray125"/>
    </x:fill>
    <x:fill>
      <x:patternFill patternType="solid">
        <x:fgColor rgb="FF19364B"/>
      </x:patternFill>
    </x:fill>
    <x:fill>
      <x:patternFill patternType="solid">
        <x:fgColor rgb="FFFFF1D5"/>
      </x:patternFill>
    </x:fill>
    <x:fill>
      <x:patternFill patternType="solid">
        <x:fgColor rgb="FF28566C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3" fillId="2" borderId="0" xfId="0" applyNumberFormat="1" applyFont="1" applyFill="1" applyBorder="1"/>
    <x:xf numFmtId="0" fontId="1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bb441ccf0f45fc" /><Relationship Type="http://schemas.openxmlformats.org/officeDocument/2006/relationships/theme" Target="/xl/theme/theme1.xml" Id="R0226d11f5b5745b9" /><Relationship Type="http://schemas.openxmlformats.org/officeDocument/2006/relationships/sharedStrings" Target="/xl/sharedStrings.xml" Id="Re82a7fe0b6b04cfd" /><Relationship Type="http://schemas.openxmlformats.org/officeDocument/2006/relationships/worksheet" Target="/xl/worksheets/sheet1.xml" Id="R8381309851a84d11" /><Relationship Type="http://schemas.openxmlformats.org/officeDocument/2006/relationships/worksheet" Target="/xl/worksheets/sheet2.xml" Id="R009a9d71918e45cf" /><Relationship Type="http://schemas.openxmlformats.org/officeDocument/2006/relationships/worksheet" Target="/xl/worksheets/sheet3.xml" Id="R53fc0a67481f42ad" /><Relationship Type="http://schemas.openxmlformats.org/officeDocument/2006/relationships/worksheet" Target="/xl/worksheets/sheet4.xml" Id="R2052ee9857d14dd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f4295e1b0db4dd0" /><Relationship Type="http://schemas.openxmlformats.org/officeDocument/2006/relationships/chart" Target="/xl/drawings/charts/chart2.xml" Id="Rc6610c40ea0c4d64" /><Relationship Type="http://schemas.openxmlformats.org/officeDocument/2006/relationships/chart" Target="/xl/drawings/charts/chart3.xml" Id="Rfb6e843a9c5b43b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스테이지 체력 배율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HP 배율</c:v>
          </c:tx>
          <c:spPr>
            <a:ln xmlns:a="http://schemas.openxmlformats.org/drawingml/2006/main" w="19050">
              <a:solidFill>
                <a:srgbClr val="29759B"/>
              </a:solidFill>
              <a:prstDash val="solid"/>
            </a:ln>
          </c:spPr>
          <c:marker>
            <c:symbol val="none"/>
          </c:marker>
          <c:cat>
            <c:strRef>
              <c:f>'Analysis'!$A$5:$A$7</c:f>
              <c:strCache>
                <c:ptCount val="0"/>
              </c:strCache>
            </c:strRef>
          </c:cat>
          <c:val>
            <c:numRef>
              <c:f>'Analysis'!$B$5:$B$7</c:f>
              <c:numCache>
                <c:formatCode>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 sourceLinked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레벨 경험치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필요 EXP</c:v>
          </c:tx>
          <c:spPr>
            <a:ln xmlns:a="http://schemas.openxmlformats.org/drawingml/2006/main" w="19050">
              <a:solidFill>
                <a:srgbClr val="29759B"/>
              </a:solidFill>
              <a:prstDash val="solid"/>
            </a:ln>
          </c:spPr>
          <c:marker>
            <c:symbol val="none"/>
          </c:marker>
          <c:cat>
            <c:strRef>
              <c:f>'Analysis'!$D$5:$D$13</c:f>
              <c:strCache>
                <c:ptCount val="0"/>
              </c:strCache>
            </c:strRef>
          </c:cat>
          <c:val>
            <c:numRef>
              <c:f>'Analysis'!$E$5:$E$13</c:f>
              <c:numCache>
                <c:formatCode>0</c:formatCode>
                <c:ptCount val="0"/>
              </c:numCache>
            </c:numRef>
          </c:val>
          <c:smooth val="0"/>
        </c:ser>
        <c:ser>
          <c:idx val="1"/>
          <c:order val="1"/>
          <c:tx>
            <c:v>누적 EXP</c:v>
          </c:tx>
          <c:spPr>
            <a:ln xmlns:a="http://schemas.openxmlformats.org/drawingml/2006/main" w="19050">
              <a:solidFill>
                <a:srgbClr val="D7813D"/>
              </a:solidFill>
              <a:prstDash val="solid"/>
            </a:ln>
          </c:spPr>
          <c:marker>
            <c:symbol val="none"/>
          </c:marker>
          <c:cat>
            <c:strRef>
              <c:f>'Analysis'!$D$5:$D$13</c:f>
              <c:strCache>
                <c:ptCount val="0"/>
              </c:strCache>
            </c:strRef>
          </c:cat>
          <c:val>
            <c:numRef>
              <c:f>'Analysis'!$F$5:$F$13</c:f>
              <c:numCache>
                <c:formatCode>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방 골드와 일반 유물 가격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누적 골드</c:v>
          </c:tx>
          <c:spPr>
            <a:ln xmlns:a="http://schemas.openxmlformats.org/drawingml/2006/main" w="19050">
              <a:solidFill>
                <a:srgbClr val="29759B"/>
              </a:solidFill>
              <a:prstDash val="solid"/>
            </a:ln>
          </c:spPr>
          <c:marker>
            <c:symbol val="none"/>
          </c:marker>
          <c:cat>
            <c:strRef>
              <c:f>'Analysis'!$H$5:$H$14</c:f>
              <c:strCache>
                <c:ptCount val="0"/>
              </c:strCache>
            </c:strRef>
          </c:cat>
          <c:val>
            <c:numRef>
              <c:f>'Analysis'!$I$5:$I$14</c:f>
              <c:numCache>
                <c:formatCode>0</c:formatCode>
                <c:ptCount val="0"/>
              </c:numCache>
            </c:numRef>
          </c:val>
          <c:smooth val="0"/>
        </c:ser>
        <c:ser>
          <c:idx val="1"/>
          <c:order val="1"/>
          <c:tx>
            <c:v>일반 유물 최소</c:v>
          </c:tx>
          <c:spPr>
            <a:ln xmlns:a="http://schemas.openxmlformats.org/drawingml/2006/main" w="19050">
              <a:solidFill>
                <a:srgbClr val="D7813D"/>
              </a:solidFill>
              <a:prstDash val="solid"/>
            </a:ln>
          </c:spPr>
          <c:marker>
            <c:symbol val="none"/>
          </c:marker>
          <c:cat>
            <c:strRef>
              <c:f>'Analysis'!$H$5:$H$14</c:f>
              <c:strCache>
                <c:ptCount val="0"/>
              </c:strCache>
            </c:strRef>
          </c:cat>
          <c:val>
            <c:numRef>
              <c:f>'Analysis'!$J$5:$J$14</c:f>
              <c:numCache>
                <c:formatCode>0</c:formatCode>
                <c:ptCount val="0"/>
              </c:numCache>
            </c:numRef>
          </c:val>
          <c:smooth val="0"/>
        </c:ser>
        <c:ser>
          <c:idx val="2"/>
          <c:order val="2"/>
          <c:tx>
            <c:v>일반 유물 최대</c:v>
          </c:tx>
          <c:spPr>
            <a:ln xmlns:a="http://schemas.openxmlformats.org/drawingml/2006/main" w="19050">
              <a:solidFill>
                <a:srgbClr val="378266"/>
              </a:solidFill>
              <a:prstDash val="solid"/>
            </a:ln>
          </c:spPr>
          <c:marker>
            <c:symbol val="none"/>
          </c:marker>
          <c:cat>
            <c:strRef>
              <c:f>'Analysis'!$H$5:$H$14</c:f>
              <c:strCache>
                <c:ptCount val="0"/>
              </c:strCache>
            </c:strRef>
          </c:cat>
          <c:val>
            <c:numRef>
              <c:f>'Analysis'!$K$5:$K$14</c:f>
              <c:numCache>
                <c:formatCode>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17</xdr:row>
      <xdr:rowOff>0</xdr:rowOff>
    </xdr:from>
    <xdr:to>
      <xdr:col>6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f4295e1b0db4dd0"/>
        </a:graphicData>
      </a:graphic>
    </xdr:graphicFrame>
    <xdr:clientData/>
  </xdr:twoCellAnchor>
  <xdr:twoCellAnchor>
    <xdr:from>
      <xdr:col>7</xdr:col>
      <xdr:colOff>0</xdr:colOff>
      <xdr:row>17</xdr:row>
      <xdr:rowOff>0</xdr:rowOff>
    </xdr:from>
    <xdr:to>
      <xdr:col>13</xdr:col>
      <xdr:colOff>0</xdr:colOff>
      <xdr:row>30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6610c40ea0c4d64"/>
        </a:graphicData>
      </a:graphic>
    </xdr:graphicFrame>
    <xdr:clientData/>
  </xdr:twoCellAnchor>
  <xdr:twoCellAnchor>
    <xdr:from>
      <xdr:col>14</xdr:col>
      <xdr:colOff>0</xdr:colOff>
      <xdr:row>17</xdr:row>
      <xdr:rowOff>0</xdr:rowOff>
    </xdr:from>
    <xdr:to>
      <xdr:col>20</xdr:col>
      <xdr:colOff>0</xdr:colOff>
      <xdr:row>30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b6e843a9c5b43bc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761d16c12915427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24" hidden="0" customWidth="1"/>
  </x:cols>
  <x:sheetData>
    <x:row r="1" ht="28" customHeight="1">
      <x:c r="A1" s="3" t="str">
        <x:v>key</x:v>
      </x:c>
      <x:c r="B1" s="3" t="str">
        <x:v>value</x:v>
      </x:c>
    </x:row>
    <x:row r="2" ht="28" customHeight="1">
      <x:c r="A2" s="1" t="str">
        <x:v>enabled</x:v>
      </x:c>
      <x:c r="B2" s="4" t="n">
        <x:v>1</x:v>
      </x:c>
    </x:row>
    <x:row r="3" ht="28" customHeight="1">
      <x:c r="A3" s="1" t="str">
        <x:v>hpMultiplierPerClearedStage</x:v>
      </x:c>
      <x:c r="B3" s="4" t="n">
        <x:v>0.55</x:v>
      </x:c>
    </x:row>
    <x:row r="4" ht="28" customHeight="1"/>
    <x:row r="5" ht="28" customHeight="1"/>
    <x:row r="6" ht="28" customHeight="1"/>
    <x:row r="7" ht="28" customHeight="1"/>
    <x:row r="8" ht="28" customHeight="1"/>
    <x:row r="9" ht="28" customHeight="1"/>
    <x:row r="10" ht="28" customHeight="1"/>
    <x:row r="11" ht="28" customHeight="1"/>
    <x:row r="12" ht="28" customHeight="1"/>
    <x:row r="13" ht="28" customHeight="1"/>
    <x:row r="14" ht="28" customHeight="1"/>
    <x:row r="15" ht="28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24" hidden="0" customWidth="1"/>
  </x:cols>
  <x:sheetData>
    <x:row r="1" ht="28" customHeight="1">
      <x:c r="A1" s="3" t="str">
        <x:v>fromLevel</x:v>
      </x:c>
      <x:c r="B1" s="3" t="str">
        <x:v>requiredExperience</x:v>
      </x:c>
    </x:row>
    <x:row r="2" ht="28" customHeight="1">
      <x:c r="A2" s="1" t="n">
        <x:v>1</x:v>
      </x:c>
      <x:c r="B2" s="4" t="n">
        <x:v>100</x:v>
      </x:c>
    </x:row>
    <x:row r="3" ht="28" customHeight="1">
      <x:c r="A3" s="1" t="n">
        <x:v>2</x:v>
      </x:c>
      <x:c r="B3" s="4" t="n">
        <x:v>130</x:v>
      </x:c>
    </x:row>
    <x:row r="4" ht="28" customHeight="1">
      <x:c r="A4" s="1" t="n">
        <x:v>3</x:v>
      </x:c>
      <x:c r="B4" s="4" t="n">
        <x:v>160</x:v>
      </x:c>
    </x:row>
    <x:row r="5" ht="28" customHeight="1">
      <x:c r="A5" s="1" t="n">
        <x:v>4</x:v>
      </x:c>
      <x:c r="B5" s="4" t="n">
        <x:v>200</x:v>
      </x:c>
    </x:row>
    <x:row r="6" ht="28" customHeight="1">
      <x:c r="A6" s="1" t="n">
        <x:v>5</x:v>
      </x:c>
      <x:c r="B6" s="4" t="n">
        <x:v>250</x:v>
      </x:c>
    </x:row>
    <x:row r="7" ht="28" customHeight="1">
      <x:c r="A7" s="1" t="n">
        <x:v>6</x:v>
      </x:c>
      <x:c r="B7" s="4" t="n">
        <x:v>310</x:v>
      </x:c>
    </x:row>
    <x:row r="8" ht="28" customHeight="1">
      <x:c r="A8" s="1" t="n">
        <x:v>7</x:v>
      </x:c>
      <x:c r="B8" s="4" t="n">
        <x:v>380</x:v>
      </x:c>
    </x:row>
    <x:row r="9" ht="28" customHeight="1">
      <x:c r="A9" s="1" t="n">
        <x:v>8</x:v>
      </x:c>
      <x:c r="B9" s="4" t="n">
        <x:v>460</x:v>
      </x:c>
    </x:row>
    <x:row r="10" ht="28" customHeight="1">
      <x:c r="A10" s="1" t="n">
        <x:v>9</x:v>
      </x:c>
      <x:c r="B10" s="4" t="n">
        <x:v>550</x:v>
      </x:c>
    </x:row>
    <x:row r="11" ht="28" customHeight="1"/>
    <x:row r="12" ht="28" customHeight="1"/>
    <x:row r="13" ht="28" customHeight="1"/>
    <x:row r="14" ht="28" customHeight="1"/>
    <x:row r="15" ht="28" customHeight="1"/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24" hidden="0" customWidth="1"/>
  </x:cols>
  <x:sheetData>
    <x:row r="1" ht="28" customHeight="1">
      <x:c r="A1" s="3" t="str">
        <x:v>key</x:v>
      </x:c>
      <x:c r="B1" s="3" t="str">
        <x:v>value</x:v>
      </x:c>
    </x:row>
    <x:row r="2" ht="28" customHeight="1">
      <x:c r="A2" s="1" t="str">
        <x:v>NormalRoomGold</x:v>
      </x:c>
      <x:c r="B2" s="4" t="n">
        <x:v>120</x:v>
      </x:c>
    </x:row>
    <x:row r="3" ht="28" customHeight="1">
      <x:c r="A3" s="1" t="str">
        <x:v>LargeRoomGold</x:v>
      </x:c>
      <x:c r="B3" s="4" t="n">
        <x:v>180</x:v>
      </x:c>
    </x:row>
    <x:row r="4" ht="28" customHeight="1">
      <x:c r="A4" s="1" t="str">
        <x:v>WeaponPriceMin</x:v>
      </x:c>
      <x:c r="B4" s="4" t="n">
        <x:v>1150</x:v>
      </x:c>
    </x:row>
    <x:row r="5" ht="28" customHeight="1">
      <x:c r="A5" s="1" t="str">
        <x:v>WeaponPriceMax</x:v>
      </x:c>
      <x:c r="B5" s="4" t="n">
        <x:v>1250</x:v>
      </x:c>
    </x:row>
    <x:row r="6" ht="28" customHeight="1">
      <x:c r="A6" s="1" t="str">
        <x:v>CommonRelicPriceMin</x:v>
      </x:c>
      <x:c r="B6" s="4" t="n">
        <x:v>400</x:v>
      </x:c>
    </x:row>
    <x:row r="7" ht="28" customHeight="1">
      <x:c r="A7" s="1" t="str">
        <x:v>CommonRelicPriceMax</x:v>
      </x:c>
      <x:c r="B7" s="4" t="n">
        <x:v>500</x:v>
      </x:c>
    </x:row>
    <x:row r="8" ht="28" customHeight="1">
      <x:c r="A8" s="1" t="str">
        <x:v>RareRelicPriceMin</x:v>
      </x:c>
      <x:c r="B8" s="4" t="n">
        <x:v>600</x:v>
      </x:c>
    </x:row>
    <x:row r="9" ht="28" customHeight="1">
      <x:c r="A9" s="1" t="str">
        <x:v>RareRelicPriceMax</x:v>
      </x:c>
      <x:c r="B9" s="4" t="n">
        <x:v>700</x:v>
      </x:c>
    </x:row>
    <x:row r="10" ht="28" customHeight="1">
      <x:c r="A10" s="1" t="str">
        <x:v>EpicRelicPriceMin</x:v>
      </x:c>
      <x:c r="B10" s="4" t="n">
        <x:v>900</x:v>
      </x:c>
    </x:row>
    <x:row r="11" ht="28" customHeight="1">
      <x:c r="A11" s="1" t="str">
        <x:v>EpicRelicPriceMax</x:v>
      </x:c>
      <x:c r="B11" s="4" t="n">
        <x:v>1000</x:v>
      </x:c>
    </x:row>
    <x:row r="12" ht="28" customHeight="1">
      <x:c r="A12" s="1" t="str">
        <x:v>ConsumablePriceMin</x:v>
      </x:c>
      <x:c r="B12" s="4" t="n">
        <x:v>850</x:v>
      </x:c>
    </x:row>
    <x:row r="13" ht="28" customHeight="1">
      <x:c r="A13" s="1" t="str">
        <x:v>ConsumablePriceMax</x:v>
      </x:c>
      <x:c r="B13" s="4" t="n">
        <x:v>950</x:v>
      </x:c>
    </x:row>
    <x:row r="14" ht="28" customHeight="1"/>
    <x:row r="15" ht="28" customHeight="1"/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</x:cols>
  <x:sheetData>
    <x:row r="1" ht="26" customHeight="1">
      <x:c r="A1" s="5" t="str">
        <x:v>입력 시트 연동 분석 · CSV 내보내기는 앞의 입력 시트 3개만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</x:row>
    <x:row r="2" ht="26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</x:row>
    <x:row r="3" ht="26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</x:row>
    <x:row r="4" ht="40" customHeight="1">
      <x:c r="A4" s="8" t="str">
        <x:v>스테이지</x:v>
      </x:c>
      <x:c r="B4" s="8" t="str">
        <x:v>HP 배율</x:v>
      </x:c>
      <x:c r="C4" s="1"/>
      <x:c r="D4" s="8" t="str">
        <x:v>레벨 전환</x:v>
      </x:c>
      <x:c r="E4" s="8" t="str">
        <x:v>필요 EXP</x:v>
      </x:c>
      <x:c r="F4" s="8" t="str">
        <x:v>누적 EXP</x:v>
      </x:c>
      <x:c r="G4" s="1"/>
      <x:c r="H4" s="8" t="str">
        <x:v>일반방 수</x:v>
      </x:c>
      <x:c r="I4" s="8" t="str">
        <x:v>누적 골드</x:v>
      </x:c>
      <x:c r="J4" s="8" t="str">
        <x:v>일반 유물 최소</x:v>
      </x:c>
      <x:c r="K4" s="8" t="str">
        <x:v>일반 유물 최대</x:v>
      </x:c>
      <x:c r="L4" s="1"/>
      <x:c r="M4" s="1"/>
      <x:c r="N4" s="1"/>
      <x:c r="O4" s="1"/>
      <x:c r="P4" s="1"/>
      <x:c r="Q4" s="1"/>
      <x:c r="R4" s="1"/>
      <x:c r="S4" s="1"/>
      <x:c r="T4" s="1"/>
    </x:row>
    <x:row r="5" ht="26" customHeight="1">
      <x:c r="A5" s="1" t="str">
        <x:v>Stage 1</x:v>
      </x:c>
      <x:c r="B5" s="1" t="n">
        <x:f>IF(StageHealth!$B$2=1,(1+StageHealth!$B$3*0)*1,1)</x:f>
        <x:v>1</x:v>
      </x:c>
      <x:c r="C5" s="1"/>
      <x:c r="D5" s="1" t="str">
        <x:v>1 → 2</x:v>
      </x:c>
      <x:c r="E5" s="1" t="n">
        <x:f>LevelExperience!B2</x:f>
        <x:v>100</x:v>
      </x:c>
      <x:c r="F5" s="1" t="n">
        <x:f>SUM($E$5:E5)</x:f>
        <x:v>100</x:v>
      </x:c>
      <x:c r="G5" s="1"/>
      <x:c r="H5" s="1" t="n">
        <x:v>1</x:v>
      </x:c>
      <x:c r="I5" s="1" t="n">
        <x:f>H5*GoldEconomy!$B$2</x:f>
        <x:v>120</x:v>
      </x:c>
      <x:c r="J5" s="1" t="n">
        <x:f>GoldEconomy!$B$6</x:f>
        <x:v>400</x:v>
      </x:c>
      <x:c r="K5" s="1" t="n">
        <x:f>GoldEconomy!$B$7</x:f>
        <x:v>500</x:v>
      </x:c>
      <x:c r="L5" s="1"/>
      <x:c r="M5" s="1"/>
      <x:c r="N5" s="1"/>
      <x:c r="O5" s="1"/>
      <x:c r="P5" s="1"/>
      <x:c r="Q5" s="1"/>
      <x:c r="R5" s="1"/>
      <x:c r="S5" s="1"/>
      <x:c r="T5" s="1"/>
    </x:row>
    <x:row r="6" ht="26" customHeight="1">
      <x:c r="A6" s="1" t="str">
        <x:v>Stage 2</x:v>
      </x:c>
      <x:c r="B6" s="1" t="n">
        <x:f>IF(StageHealth!$B$2=1,(1+StageHealth!$B$3*1)*1,1)</x:f>
        <x:v>1.55</x:v>
      </x:c>
      <x:c r="C6" s="1"/>
      <x:c r="D6" s="1" t="str">
        <x:v>2 → 3</x:v>
      </x:c>
      <x:c r="E6" s="1" t="n">
        <x:f>LevelExperience!B3</x:f>
        <x:v>130</x:v>
      </x:c>
      <x:c r="F6" s="1" t="n">
        <x:f>SUM($E$5:E6)</x:f>
        <x:v>230</x:v>
      </x:c>
      <x:c r="G6" s="1"/>
      <x:c r="H6" s="1" t="n">
        <x:v>2</x:v>
      </x:c>
      <x:c r="I6" s="1" t="n">
        <x:f>H6*GoldEconomy!$B$2</x:f>
        <x:v>240</x:v>
      </x:c>
      <x:c r="J6" s="1" t="n">
        <x:f>GoldEconomy!$B$6</x:f>
        <x:v>400</x:v>
      </x:c>
      <x:c r="K6" s="1" t="n">
        <x:f>GoldEconomy!$B$7</x:f>
        <x:v>500</x:v>
      </x:c>
      <x:c r="L6" s="1"/>
      <x:c r="M6" s="1"/>
      <x:c r="N6" s="1"/>
      <x:c r="O6" s="1"/>
      <x:c r="P6" s="1"/>
      <x:c r="Q6" s="1"/>
      <x:c r="R6" s="1"/>
      <x:c r="S6" s="1"/>
      <x:c r="T6" s="1"/>
    </x:row>
    <x:row r="7" ht="26" customHeight="1">
      <x:c r="A7" s="1" t="str">
        <x:v>Stage 3</x:v>
      </x:c>
      <x:c r="B7" s="1" t="n">
        <x:f>IF(StageHealth!$B$2=1,(1+StageHealth!$B$3*2)*2,1)</x:f>
        <x:v>4.2</x:v>
      </x:c>
      <x:c r="C7" s="1"/>
      <x:c r="D7" s="1" t="str">
        <x:v>3 → 4</x:v>
      </x:c>
      <x:c r="E7" s="1" t="n">
        <x:f>LevelExperience!B4</x:f>
        <x:v>160</x:v>
      </x:c>
      <x:c r="F7" s="1" t="n">
        <x:f>SUM($E$5:E7)</x:f>
        <x:v>390</x:v>
      </x:c>
      <x:c r="G7" s="1"/>
      <x:c r="H7" s="1" t="n">
        <x:v>3</x:v>
      </x:c>
      <x:c r="I7" s="1" t="n">
        <x:f>H7*GoldEconomy!$B$2</x:f>
        <x:v>360</x:v>
      </x:c>
      <x:c r="J7" s="1" t="n">
        <x:f>GoldEconomy!$B$6</x:f>
        <x:v>400</x:v>
      </x:c>
      <x:c r="K7" s="1" t="n">
        <x:f>GoldEconomy!$B$7</x:f>
        <x:v>500</x:v>
      </x:c>
      <x:c r="L7" s="1"/>
      <x:c r="M7" s="1"/>
      <x:c r="N7" s="1"/>
      <x:c r="O7" s="1"/>
      <x:c r="P7" s="1"/>
      <x:c r="Q7" s="1"/>
      <x:c r="R7" s="1"/>
      <x:c r="S7" s="1"/>
      <x:c r="T7" s="1"/>
    </x:row>
    <x:row r="8" ht="26" customHeight="1">
      <x:c r="A8" s="1"/>
      <x:c r="B8" s="1"/>
      <x:c r="C8" s="1"/>
      <x:c r="D8" s="1" t="str">
        <x:v>4 → 5</x:v>
      </x:c>
      <x:c r="E8" s="1" t="n">
        <x:f>LevelExperience!B5</x:f>
        <x:v>200</x:v>
      </x:c>
      <x:c r="F8" s="1" t="n">
        <x:f>SUM($E$5:E8)</x:f>
        <x:v>590</x:v>
      </x:c>
      <x:c r="G8" s="1"/>
      <x:c r="H8" s="1" t="n">
        <x:v>4</x:v>
      </x:c>
      <x:c r="I8" s="1" t="n">
        <x:f>H8*GoldEconomy!$B$2</x:f>
        <x:v>480</x:v>
      </x:c>
      <x:c r="J8" s="1" t="n">
        <x:f>GoldEconomy!$B$6</x:f>
        <x:v>400</x:v>
      </x:c>
      <x:c r="K8" s="1" t="n">
        <x:f>GoldEconomy!$B$7</x:f>
        <x:v>500</x:v>
      </x:c>
      <x:c r="L8" s="1"/>
      <x:c r="M8" s="1"/>
      <x:c r="N8" s="1"/>
      <x:c r="O8" s="1"/>
      <x:c r="P8" s="1"/>
      <x:c r="Q8" s="1"/>
      <x:c r="R8" s="1"/>
      <x:c r="S8" s="1"/>
      <x:c r="T8" s="1"/>
    </x:row>
    <x:row r="9" ht="26" customHeight="1">
      <x:c r="A9" s="1"/>
      <x:c r="B9" s="1"/>
      <x:c r="C9" s="1"/>
      <x:c r="D9" s="1" t="str">
        <x:v>5 → 6</x:v>
      </x:c>
      <x:c r="E9" s="1" t="n">
        <x:f>LevelExperience!B6</x:f>
        <x:v>250</x:v>
      </x:c>
      <x:c r="F9" s="1" t="n">
        <x:f>SUM($E$5:E9)</x:f>
        <x:v>840</x:v>
      </x:c>
      <x:c r="G9" s="1"/>
      <x:c r="H9" s="1" t="n">
        <x:v>5</x:v>
      </x:c>
      <x:c r="I9" s="1" t="n">
        <x:f>H9*GoldEconomy!$B$2</x:f>
        <x:v>600</x:v>
      </x:c>
      <x:c r="J9" s="1" t="n">
        <x:f>GoldEconomy!$B$6</x:f>
        <x:v>400</x:v>
      </x:c>
      <x:c r="K9" s="1" t="n">
        <x:f>GoldEconomy!$B$7</x:f>
        <x:v>500</x:v>
      </x:c>
      <x:c r="L9" s="1"/>
      <x:c r="M9" s="1"/>
      <x:c r="N9" s="1"/>
      <x:c r="O9" s="1"/>
      <x:c r="P9" s="1"/>
      <x:c r="Q9" s="1"/>
      <x:c r="R9" s="1"/>
      <x:c r="S9" s="1"/>
      <x:c r="T9" s="1"/>
    </x:row>
    <x:row r="10" ht="26" customHeight="1">
      <x:c r="A10" s="1"/>
      <x:c r="B10" s="1"/>
      <x:c r="C10" s="1"/>
      <x:c r="D10" s="1" t="str">
        <x:v>6 → 7</x:v>
      </x:c>
      <x:c r="E10" s="1" t="n">
        <x:f>LevelExperience!B7</x:f>
        <x:v>310</x:v>
      </x:c>
      <x:c r="F10" s="1" t="n">
        <x:f>SUM($E$5:E10)</x:f>
        <x:v>1150</x:v>
      </x:c>
      <x:c r="G10" s="1"/>
      <x:c r="H10" s="1" t="n">
        <x:v>6</x:v>
      </x:c>
      <x:c r="I10" s="1" t="n">
        <x:f>H10*GoldEconomy!$B$2</x:f>
        <x:v>720</x:v>
      </x:c>
      <x:c r="J10" s="1" t="n">
        <x:f>GoldEconomy!$B$6</x:f>
        <x:v>400</x:v>
      </x:c>
      <x:c r="K10" s="1" t="n">
        <x:f>GoldEconomy!$B$7</x:f>
        <x:v>500</x:v>
      </x:c>
      <x:c r="L10" s="1"/>
      <x:c r="M10" s="1"/>
      <x:c r="N10" s="1"/>
      <x:c r="O10" s="1"/>
      <x:c r="P10" s="1"/>
      <x:c r="Q10" s="1"/>
      <x:c r="R10" s="1"/>
      <x:c r="S10" s="1"/>
      <x:c r="T10" s="1"/>
    </x:row>
    <x:row r="11" ht="26" customHeight="1">
      <x:c r="A11" s="1"/>
      <x:c r="B11" s="1"/>
      <x:c r="C11" s="1"/>
      <x:c r="D11" s="1" t="str">
        <x:v>7 → 8</x:v>
      </x:c>
      <x:c r="E11" s="1" t="n">
        <x:f>LevelExperience!B8</x:f>
        <x:v>380</x:v>
      </x:c>
      <x:c r="F11" s="1" t="n">
        <x:f>SUM($E$5:E11)</x:f>
        <x:v>1530</x:v>
      </x:c>
      <x:c r="G11" s="1"/>
      <x:c r="H11" s="1" t="n">
        <x:v>7</x:v>
      </x:c>
      <x:c r="I11" s="1" t="n">
        <x:f>H11*GoldEconomy!$B$2</x:f>
        <x:v>840</x:v>
      </x:c>
      <x:c r="J11" s="1" t="n">
        <x:f>GoldEconomy!$B$6</x:f>
        <x:v>400</x:v>
      </x:c>
      <x:c r="K11" s="1" t="n">
        <x:f>GoldEconomy!$B$7</x:f>
        <x:v>500</x:v>
      </x:c>
      <x:c r="L11" s="1"/>
      <x:c r="M11" s="1"/>
      <x:c r="N11" s="1"/>
      <x:c r="O11" s="1"/>
      <x:c r="P11" s="1"/>
      <x:c r="Q11" s="1"/>
      <x:c r="R11" s="1"/>
      <x:c r="S11" s="1"/>
      <x:c r="T11" s="1"/>
    </x:row>
    <x:row r="12" ht="26" customHeight="1">
      <x:c r="A12" s="1"/>
      <x:c r="B12" s="1"/>
      <x:c r="C12" s="1"/>
      <x:c r="D12" s="1" t="str">
        <x:v>8 → 9</x:v>
      </x:c>
      <x:c r="E12" s="1" t="n">
        <x:f>LevelExperience!B9</x:f>
        <x:v>460</x:v>
      </x:c>
      <x:c r="F12" s="1" t="n">
        <x:f>SUM($E$5:E12)</x:f>
        <x:v>1990</x:v>
      </x:c>
      <x:c r="G12" s="1"/>
      <x:c r="H12" s="1" t="n">
        <x:v>8</x:v>
      </x:c>
      <x:c r="I12" s="1" t="n">
        <x:f>H12*GoldEconomy!$B$2</x:f>
        <x:v>960</x:v>
      </x:c>
      <x:c r="J12" s="1" t="n">
        <x:f>GoldEconomy!$B$6</x:f>
        <x:v>400</x:v>
      </x:c>
      <x:c r="K12" s="1" t="n">
        <x:f>GoldEconomy!$B$7</x:f>
        <x:v>500</x:v>
      </x:c>
      <x:c r="L12" s="1"/>
      <x:c r="M12" s="1"/>
      <x:c r="N12" s="1"/>
      <x:c r="O12" s="1"/>
      <x:c r="P12" s="1"/>
      <x:c r="Q12" s="1"/>
      <x:c r="R12" s="1"/>
      <x:c r="S12" s="1"/>
      <x:c r="T12" s="1"/>
    </x:row>
    <x:row r="13" ht="26" customHeight="1">
      <x:c r="A13" s="1"/>
      <x:c r="B13" s="1"/>
      <x:c r="C13" s="1"/>
      <x:c r="D13" s="1" t="str">
        <x:v>9 → 10</x:v>
      </x:c>
      <x:c r="E13" s="1" t="n">
        <x:f>LevelExperience!B10</x:f>
        <x:v>550</x:v>
      </x:c>
      <x:c r="F13" s="1" t="n">
        <x:f>SUM($E$5:E13)</x:f>
        <x:v>2540</x:v>
      </x:c>
      <x:c r="G13" s="1"/>
      <x:c r="H13" s="1" t="n">
        <x:v>9</x:v>
      </x:c>
      <x:c r="I13" s="1" t="n">
        <x:f>H13*GoldEconomy!$B$2</x:f>
        <x:v>1080</x:v>
      </x:c>
      <x:c r="J13" s="1" t="n">
        <x:f>GoldEconomy!$B$6</x:f>
        <x:v>400</x:v>
      </x:c>
      <x:c r="K13" s="1" t="n">
        <x:f>GoldEconomy!$B$7</x:f>
        <x:v>500</x:v>
      </x:c>
      <x:c r="L13" s="1"/>
      <x:c r="M13" s="1"/>
      <x:c r="N13" s="1"/>
      <x:c r="O13" s="1"/>
      <x:c r="P13" s="1"/>
      <x:c r="Q13" s="1"/>
      <x:c r="R13" s="1"/>
      <x:c r="S13" s="1"/>
      <x:c r="T13" s="1"/>
    </x:row>
    <x:row r="14" ht="26" customHeight="1">
      <x:c r="A14" s="1"/>
      <x:c r="B14" s="1"/>
      <x:c r="C14" s="1"/>
      <x:c r="D14" s="1"/>
      <x:c r="E14" s="1"/>
      <x:c r="F14" s="1"/>
      <x:c r="G14" s="1"/>
      <x:c r="H14" s="1" t="n">
        <x:v>10</x:v>
      </x:c>
      <x:c r="I14" s="1" t="n">
        <x:f>H14*GoldEconomy!$B$2</x:f>
        <x:v>1200</x:v>
      </x:c>
      <x:c r="J14" s="1" t="n">
        <x:f>GoldEconomy!$B$6</x:f>
        <x:v>400</x:v>
      </x:c>
      <x:c r="K14" s="1" t="n">
        <x:f>GoldEconomy!$B$7</x:f>
        <x:v>500</x:v>
      </x:c>
      <x:c r="L14" s="1"/>
      <x:c r="M14" s="1"/>
      <x:c r="N14" s="1"/>
      <x:c r="O14" s="1"/>
      <x:c r="P14" s="1"/>
      <x:c r="Q14" s="1"/>
      <x:c r="R14" s="1"/>
      <x:c r="S14" s="1"/>
      <x:c r="T14" s="1"/>
    </x:row>
    <x:row r="15" ht="26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</x:row>
    <x:row r="16" ht="26" customHeight="1">
      <x:c r="A16" s="1" t="str">
        <x:v>현재 규칙: 3스테이지 추가 2배 · 몬스터 배치/기본 HP 제외 · 방 개수는 분석용 가정 · 출처/적용 절차: DataSheets/Balance/README.md</x:v>
      </x:c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</x:row>
    <x:row r="17" ht="26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</x:row>
    <x:row r="18" ht="26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</x:row>
    <x:row r="19" ht="26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</x:row>
    <x:row r="20" ht="26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</x:row>
    <x:row r="21" ht="26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</x:row>
    <x:row r="22" ht="26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</x:row>
    <x:row r="23" ht="26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</x:row>
    <x:row r="24" ht="26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</x:row>
    <x:row r="25" ht="26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</x:row>
    <x:row r="26" ht="26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</x:row>
    <x:row r="27" ht="26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</x:row>
    <x:row r="28" ht="26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</x:row>
    <x:row r="29" ht="26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</x:row>
    <x:row r="30" ht="26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</x:row>
  </x:sheetData>
  <x:mergeCells>
    <x:mergeCell ref="A1:T1"/>
    <x:mergeCell ref="A16:T16"/>
  </x:mergeCells>
  <x:pageMargins left="0.7" right="0.7" top="0.75" bottom="0.75" header="0.3" footer="0.3"/>
  <x:drawing xmlns:r="http://schemas.openxmlformats.org/officeDocument/2006/relationships" r:id="R761d16c129154277"/>
</x:worksheet>
</file>