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b2cc002c2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40cdd3fe5d5a4406"/>
    <x:sheet xmlns:r="http://schemas.openxmlformats.org/officeDocument/2006/relationships" name="전체 유물" sheetId="2" r:id="Rab15d267c25b4f03"/>
    <x:sheet xmlns:r="http://schemas.openxmlformats.org/officeDocument/2006/relationships" name="시뮬레이션" sheetId="3" r:id="R37fcdc072f2f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"/>
    <x:numFmt numFmtId="202" formatCode="0.00"/>
    <x:numFmt numFmtId="203" formatCode="0.0%"/>
  </x:numFmts>
  <x:fonts count="8">
    <x:font>
      <x:sz val="11"/>
      <x:name val="Carlito"/>
    </x:font>
    <x:font>
      <x:b/>
      <x:sz val="16"/>
      <x:color rgb="FF24364B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1"/>
      <x:color rgb="FF24364B"/>
      <x:name val="Arial"/>
    </x:font>
    <x:font>
      <x:b/>
      <x:sz val="11"/>
      <x:color rgb="FF9C000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FCE4D6"/>
      </x:patternFill>
    </x:fill>
  </x:fills>
  <x:borders count="10">
    <x:border/>
    <x:border>
      <x:bottom style="thin">
        <x:color rgb="FF9EADBA"/>
      </x:bottom>
    </x:border>
    <x:border>
      <x:left style="thin">
        <x:color rgb="FFAAB7C4"/>
      </x:left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  <x:border>
      <x:top style="thin">
        <x:color rgb="FFAAB7C4"/>
      </x:top>
    </x:border>
    <x:border>
      <x:bottom style="thin">
        <x:color rgb="FFAAB7C4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0" borderId="4" xfId="0" applyNumberFormat="1" applyFont="1" applyFill="1" applyBorder="1"/>
    <x:xf numFmtId="0" fontId="4" fillId="0" borderId="5" xfId="0" applyNumberFormat="1" applyFont="1" applyFill="1" applyBorder="1"/>
    <x:xf numFmtId="0" fontId="5" fillId="0" borderId="6" xfId="0" applyNumberFormat="1" applyFont="1" applyFill="1" applyBorder="1"/>
    <x:xf numFmtId="0" fontId="4" fillId="0" borderId="7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4" fillId="0" borderId="2" xfId="0" applyNumberFormat="1" applyFont="1" applyFill="1" applyBorder="1"/>
    <x:xf numFmtId="0" fontId="4" fillId="0" borderId="8" xfId="0" applyNumberFormat="1" applyFont="1" applyFill="1" applyBorder="1"/>
    <x:xf numFmtId="200" fontId="4" fillId="0" borderId="8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0" xfId="0" applyNumberFormat="1" applyFont="1" applyFill="1" applyBorder="1"/>
    <x:xf numFmtId="0" fontId="4" fillId="0" borderId="6" xfId="0" applyNumberFormat="1" applyFont="1" applyFill="1" applyBorder="1"/>
    <x:xf numFmtId="0" fontId="4" fillId="0" borderId="9" xfId="0" applyNumberFormat="1" applyFont="1" applyFill="1" applyBorder="1"/>
    <x:xf numFmtId="200" fontId="4" fillId="0" borderId="9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1" fontId="4" fillId="0" borderId="9" xfId="0" applyNumberFormat="1" applyFont="1" applyFill="1" applyBorder="1"/>
    <x:xf numFmtId="0" fontId="4" fillId="0" borderId="9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203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203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8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 wrapText="1"/>
    </x:xf>
    <x:xf numFmtId="201" fontId="4" fillId="0" borderId="9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24364B"/>
      </x:font>
      <x:fill>
        <x:patternFill patternType="solid">
          <x:bgColor rgb="FFDCEAF7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90a3e6d6f743cf" /><Relationship Type="http://schemas.openxmlformats.org/officeDocument/2006/relationships/theme" Target="/xl/theme/theme1.xml" Id="R50bfa181989b46f5" /><Relationship Type="http://schemas.openxmlformats.org/officeDocument/2006/relationships/sharedStrings" Target="/xl/sharedStrings.xml" Id="R4d4606a1b5ed4173" /><Relationship Type="http://schemas.openxmlformats.org/officeDocument/2006/relationships/worksheet" Target="/xl/worksheets/sheet1.xml" Id="R40cdd3fe5d5a4406" /><Relationship Type="http://schemas.openxmlformats.org/officeDocument/2006/relationships/worksheet" Target="/xl/worksheets/sheet2.xml" Id="Rab15d267c25b4f03" /><Relationship Type="http://schemas.openxmlformats.org/officeDocument/2006/relationships/worksheet" Target="/xl/worksheets/sheet3.xml" Id="R37fcdc072f2f42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67"/>
      <x:c r="B1" s="67"/>
      <x:c r="C1" s="67"/>
      <x:c r="D1" s="67"/>
      <x:c r="E1" s="67"/>
      <x:c r="F1" s="67"/>
      <x:c r="G1" s="67"/>
    </x:row>
    <x:row r="2">
      <x:c r="A2" s="68" t="str">
        <x:v>마왕성 유물 밸런스 검토</x:v>
      </x:c>
      <x:c r="B2" s="68"/>
      <x:c r="C2" s="68"/>
      <x:c r="D2" s="68"/>
      <x:c r="E2" s="68"/>
      <x:c r="F2" s="68"/>
      <x:c r="G2" s="68"/>
    </x:row>
    <x:row r="3">
      <x:c r="A3" s="69"/>
      <x:c r="B3" s="69"/>
      <x:c r="C3" s="69"/>
      <x:c r="D3" s="69"/>
      <x:c r="E3" s="69"/>
      <x:c r="F3" s="69"/>
      <x:c r="G3" s="69"/>
    </x:row>
    <x:row r="4">
      <x:c r="A4" s="67"/>
      <x:c r="B4" s="67"/>
      <x:c r="C4" s="67"/>
      <x:c r="D4" s="67"/>
      <x:c r="E4" s="67"/>
      <x:c r="F4" s="67"/>
      <x:c r="G4" s="67"/>
    </x:row>
    <x:row r="5">
      <x:c r="A5" s="70" t="str">
        <x:v>항목</x:v>
      </x:c>
      <x:c r="B5" s="71" t="str">
        <x:v>결과</x:v>
      </x:c>
      <x:c r="C5" s="67"/>
      <x:c r="D5" s="67"/>
      <x:c r="E5" s="67"/>
      <x:c r="F5" s="67"/>
      <x:c r="G5" s="67"/>
    </x:row>
    <x:row r="6">
      <x:c r="A6" s="72" t="str">
        <x:v>검토 유물</x:v>
      </x:c>
      <x:c r="B6" s="73" t="n">
        <x:v>56</x:v>
      </x:c>
      <x:c r="C6" s="67"/>
      <x:c r="D6" s="67"/>
      <x:c r="E6" s="67"/>
      <x:c r="F6" s="67"/>
      <x:c r="G6" s="67"/>
    </x:row>
    <x:row r="7">
      <x:c r="A7" s="72" t="str">
        <x:v>즉시 수치 조정</x:v>
      </x:c>
      <x:c r="B7" s="73" t="str">
        <x:v>적용 완료</x:v>
      </x:c>
      <x:c r="C7" s="67"/>
      <x:c r="D7" s="67"/>
      <x:c r="E7" s="67"/>
      <x:c r="F7" s="67"/>
      <x:c r="G7" s="67"/>
    </x:row>
    <x:row r="8">
      <x:c r="A8" s="72" t="str">
        <x:v>독한 술기운</x:v>
      </x:c>
      <x:c r="B8" s="73" t="str">
        <x:v>+4/+8/+12%, 피격 후 6초</x:v>
      </x:c>
      <x:c r="C8" s="67"/>
      <x:c r="D8" s="67"/>
      <x:c r="E8" s="67"/>
      <x:c r="F8" s="67"/>
      <x:c r="G8" s="67"/>
    </x:row>
    <x:row r="9">
      <x:c r="A9" s="72" t="str">
        <x:v>작열하는 송곳</x:v>
      </x:c>
      <x:c r="B9" s="73" t="str">
        <x:v>비화상 대상 화상 2/3/4/5/6</x:v>
      </x:c>
      <x:c r="C9" s="67"/>
      <x:c r="D9" s="67"/>
      <x:c r="E9" s="67"/>
      <x:c r="F9" s="67"/>
      <x:c r="G9" s="67"/>
    </x:row>
    <x:row r="10">
      <x:c r="A10" s="74" t="str">
        <x:v>핵심 판정</x:v>
      </x:c>
      <x:c r="B10" s="75" t="str">
        <x:v>화염 무기와 추가 중첩하지 않아 공격력 페널티 불필요</x:v>
      </x:c>
      <x:c r="C10" s="67"/>
      <x:c r="D10" s="67"/>
      <x:c r="E10" s="67"/>
      <x:c r="F10" s="67"/>
      <x:c r="G10" s="67"/>
    </x:row>
    <x:row r="11">
      <x:c r="A11" s="67"/>
      <x:c r="B11" s="67"/>
      <x:c r="C11" s="67"/>
      <x:c r="D11" s="67"/>
      <x:c r="E11" s="67"/>
      <x:c r="F11" s="67"/>
      <x:c r="G11" s="67"/>
    </x:row>
    <x:row r="12">
      <x:c r="A12" s="76" t="str">
        <x:v>시뮬레이션 핵심 결과</x:v>
      </x:c>
      <x:c r="B12" s="76" t="str">
        <x:v>기본 화염</x:v>
      </x:c>
      <x:c r="C12" s="76" t="str">
        <x:v>초기 화상</x:v>
      </x:c>
      <x:c r="D12" s="76" t="str">
        <x:v>틱 피해</x:v>
      </x:c>
      <x:c r="E12" s="76" t="str">
        <x:v>총 화상 피해</x:v>
      </x:c>
      <x:c r="F12" s="76" t="str">
        <x:v>기존 대비</x:v>
      </x:c>
      <x:c r="G12" s="76" t="str">
        <x:v>판정</x:v>
      </x:c>
    </x:row>
    <x:row r="13">
      <x:c r="A13" s="77" t="str">
        <x:f>'시뮬레이션'!A17</x:f>
        <x:v>일반 무기, 유물 없음</x:v>
      </x:c>
      <x:c r="B13" s="78" t="n">
        <x:f>'시뮬레이션'!B17</x:f>
        <x:v>0</x:v>
      </x:c>
      <x:c r="C13" s="78" t="n">
        <x:f>'시뮬레이션'!D17</x:f>
        <x:v>0</x:v>
      </x:c>
      <x:c r="D13" s="78" t="n">
        <x:f>'시뮬레이션'!E17</x:f>
        <x:v>0</x:v>
      </x:c>
      <x:c r="E13" s="78" t="n">
        <x:f>'시뮬레이션'!G17</x:f>
        <x:v>0</x:v>
      </x:c>
      <x:c r="F13" s="79" t="n">
        <x:f>'시뮬레이션'!H17</x:f>
        <x:v>0</x:v>
      </x:c>
      <x:c r="G13" s="80" t="str">
        <x:f>'시뮬레이션'!I17</x:f>
        <x:v>기준</x:v>
      </x:c>
    </x:row>
    <x:row r="14">
      <x:c r="A14" s="81" t="str">
        <x:f>'시뮬레이션'!A18</x:f>
        <x:v>일반 무기 + 송곳 Lv1</x:v>
      </x:c>
      <x:c r="B14" s="67" t="n">
        <x:f>'시뮬레이션'!B18</x:f>
        <x:v>0</x:v>
      </x:c>
      <x:c r="C14" s="67" t="n">
        <x:f>'시뮬레이션'!D18</x:f>
        <x:v>2</x:v>
      </x:c>
      <x:c r="D14" s="67" t="n">
        <x:f>'시뮬레이션'!E18</x:f>
        <x:v>1</x:v>
      </x:c>
      <x:c r="E14" s="67" t="n">
        <x:f>'시뮬레이션'!G18</x:f>
        <x:v>2</x:v>
      </x:c>
      <x:c r="F14" s="82" t="n">
        <x:f>'시뮬레이션'!H18</x:f>
        <x:v>0</x:v>
      </x:c>
      <x:c r="G14" s="73" t="str">
        <x:f>'시뮬레이션'!I18</x:f>
        <x:v>안전</x:v>
      </x:c>
    </x:row>
    <x:row r="15">
      <x:c r="A15" s="81" t="str">
        <x:f>'시뮬레이션'!A19</x:f>
        <x:v>일반 무기 + 송곳 Lv5</x:v>
      </x:c>
      <x:c r="B15" s="67" t="n">
        <x:f>'시뮬레이션'!B19</x:f>
        <x:v>0</x:v>
      </x:c>
      <x:c r="C15" s="67" t="n">
        <x:f>'시뮬레이션'!D19</x:f>
        <x:v>6</x:v>
      </x:c>
      <x:c r="D15" s="67" t="n">
        <x:f>'시뮬레이션'!E19</x:f>
        <x:v>1</x:v>
      </x:c>
      <x:c r="E15" s="67" t="n">
        <x:f>'시뮬레이션'!G19</x:f>
        <x:v>6</x:v>
      </x:c>
      <x:c r="F15" s="82" t="n">
        <x:f>'시뮬레이션'!H19</x:f>
        <x:v>0</x:v>
      </x:c>
      <x:c r="G15" s="73" t="str">
        <x:f>'시뮬레이션'!I19</x:f>
        <x:v>안전</x:v>
      </x:c>
    </x:row>
    <x:row r="16">
      <x:c r="A16" s="81" t="str">
        <x:f>'시뮬레이션'!A20</x:f>
        <x:v>홍련의 한계선만</x:v>
      </x:c>
      <x:c r="B16" s="67" t="n">
        <x:f>'시뮬레이션'!B20</x:f>
        <x:v>5</x:v>
      </x:c>
      <x:c r="C16" s="67" t="n">
        <x:f>'시뮬레이션'!D20</x:f>
        <x:v>3</x:v>
      </x:c>
      <x:c r="D16" s="67" t="n">
        <x:f>'시뮬레이션'!E20</x:f>
        <x:v>3</x:v>
      </x:c>
      <x:c r="E16" s="67" t="n">
        <x:f>'시뮬레이션'!G20</x:f>
        <x:v>9</x:v>
      </x:c>
      <x:c r="F16" s="82" t="n">
        <x:f>'시뮬레이션'!H20</x:f>
        <x:v>0</x:v>
      </x:c>
      <x:c r="G16" s="73" t="str">
        <x:f>'시뮬레이션'!I20</x:f>
        <x:v>기준</x:v>
      </x:c>
    </x:row>
    <x:row r="17">
      <x:c r="A17" s="81" t="str">
        <x:f>'시뮬레이션'!A21</x:f>
        <x:v>홍련의 한계선 + 송곳 Lv5 (안전 규칙)</x:v>
      </x:c>
      <x:c r="B17" s="67" t="n">
        <x:f>'시뮬레이션'!B21</x:f>
        <x:v>5</x:v>
      </x:c>
      <x:c r="C17" s="67" t="n">
        <x:f>'시뮬레이션'!D21</x:f>
        <x:v>3</x:v>
      </x:c>
      <x:c r="D17" s="67" t="n">
        <x:f>'시뮬레이션'!E21</x:f>
        <x:v>3</x:v>
      </x:c>
      <x:c r="E17" s="67" t="n">
        <x:f>'시뮬레이션'!G21</x:f>
        <x:v>9</x:v>
      </x:c>
      <x:c r="F17" s="82" t="n">
        <x:f>'시뮬레이션'!H21</x:f>
        <x:v>0</x:v>
      </x:c>
      <x:c r="G17" s="73" t="str">
        <x:f>'시뮬레이션'!I21</x:f>
        <x:v>안전</x:v>
      </x:c>
    </x:row>
    <x:row r="18">
      <x:c r="A18" s="83" t="str">
        <x:f>'시뮬레이션'!A22</x:f>
        <x:v>홍련의 한계선 + 송곳 Lv5 (중첩 허용 가정)</x:v>
      </x:c>
      <x:c r="B18" s="84" t="n">
        <x:f>'시뮬레이션'!B22</x:f>
        <x:v>5</x:v>
      </x:c>
      <x:c r="C18" s="84" t="n">
        <x:f>'시뮬레이션'!D22</x:f>
        <x:v>9</x:v>
      </x:c>
      <x:c r="D18" s="84" t="n">
        <x:f>'시뮬레이션'!E22</x:f>
        <x:v>3</x:v>
      </x:c>
      <x:c r="E18" s="84" t="n">
        <x:f>'시뮬레이션'!G22</x:f>
        <x:v>27</x:v>
      </x:c>
      <x:c r="F18" s="85" t="n">
        <x:f>'시뮬레이션'!H22</x:f>
        <x:v>2</x:v>
      </x:c>
      <x:c r="G18" s="75" t="str">
        <x:f>'시뮬레이션'!I22</x:f>
        <x:v>위험</x:v>
      </x:c>
    </x:row>
    <x:row r="19">
      <x:c r="A19" s="67"/>
      <x:c r="B19" s="67"/>
      <x:c r="C19" s="67"/>
      <x:c r="D19" s="67"/>
      <x:c r="E19" s="67"/>
      <x:c r="F19" s="67"/>
      <x:c r="G19" s="67"/>
    </x:row>
    <x:row r="20">
      <x:c r="A20" s="86" t="str">
        <x:v>결론</x:v>
      </x:c>
      <x:c r="B20" s="87" t="str">
        <x:v>작열하는 송곳은 화상 없는 대상만 시동하므로 홍련의 한계선 화상 3을 9로 늘리지 않습니다.</x:v>
      </x:c>
      <x:c r="C20" s="87"/>
      <x:c r="D20" s="87"/>
      <x:c r="E20" s="87"/>
      <x:c r="F20" s="87"/>
      <x:c r="G20" s="87"/>
    </x:row>
    <x:row r="21">
      <x:c r="A21" s="86" t="str">
        <x:v>주의</x:v>
      </x:c>
      <x:c r="B21" s="87" t="str">
        <x:v>화상 틱은 중첩 수만큼 동시에 강해지지 않고 매 틱 1중첩을 소모합니다. 중첩은 지속시간과 소모 스킬 자원입니다.</x:v>
      </x:c>
      <x:c r="C21" s="87"/>
      <x:c r="D21" s="87"/>
      <x:c r="E21" s="87"/>
      <x:c r="F21" s="87"/>
      <x:c r="G21" s="87"/>
    </x:row>
    <x:row r="22">
      <x:c r="A22" s="86" t="str">
        <x:v>추가 검증</x:v>
      </x:c>
      <x:c r="B22" s="87" t="str">
        <x:v>실전에서는 공격 이벤트 순서, 보스 장기전, 화상 소모 스킬과 녹아내린 종 조합을 확인해야 합니다.</x:v>
      </x:c>
      <x:c r="C22" s="87"/>
      <x:c r="D22" s="87"/>
      <x:c r="E22" s="87"/>
      <x:c r="F22" s="87"/>
      <x:c r="G22" s="87"/>
    </x:row>
  </x:sheetData>
  <x:mergeCells>
    <x:mergeCell ref="A2:G2"/>
    <x:mergeCell ref="B20:G20"/>
    <x:mergeCell ref="B21:G21"/>
    <x:mergeCell ref="B22:G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54" hidden="0" customWidth="1"/>
    <x:col min="6" max="6" width="19" hidden="0" customWidth="1"/>
    <x:col min="7" max="7" width="42" hidden="0" customWidth="1"/>
  </x:cols>
  <x:sheetData>
    <x:row r="2">
      <x:c r="A2" s="88" t="str">
        <x:v>전체 유물 효과 및 현재 판정</x:v>
      </x:c>
      <x:c r="B2" s="88"/>
      <x:c r="C2" s="88"/>
      <x:c r="D2" s="88"/>
      <x:c r="E2" s="88"/>
      <x:c r="F2" s="88"/>
      <x:c r="G2" s="88"/>
    </x:row>
    <x:row r="3">
      <x:c r="A3" s="89"/>
      <x:c r="B3" s="89"/>
      <x:c r="C3" s="89"/>
      <x:c r="D3" s="89"/>
      <x:c r="E3" s="89"/>
      <x:c r="F3" s="89"/>
      <x:c r="G3" s="89"/>
    </x:row>
    <x:row r="4">
      <x:c r="A4" s="90" t="str">
        <x:v>ID</x:v>
      </x:c>
      <x:c r="B4" s="91" t="str">
        <x:v>표시 이름</x:v>
      </x:c>
      <x:c r="C4" s="91" t="str">
        <x:v>등급</x:v>
      </x:c>
      <x:c r="D4" s="91" t="str">
        <x:v>최대 레벨</x:v>
      </x:c>
      <x:c r="E4" s="91" t="str">
        <x:v>현재 효과</x:v>
      </x:c>
      <x:c r="F4" s="91" t="str">
        <x:v>판정</x:v>
      </x:c>
      <x:c r="G4" s="92" t="str">
        <x:v>검토 메모</x:v>
      </x:c>
    </x:row>
    <x:row r="5">
      <x:c r="A5" s="81" t="str">
        <x:v>RD_AttackBonusRelic</x:v>
      </x:c>
      <x:c r="B5" s="67" t="str">
        <x:v>힘 부적</x:v>
      </x:c>
      <x:c r="C5" s="67" t="str">
        <x:v>일반</x:v>
      </x:c>
      <x:c r="D5" s="93" t="n">
        <x:v>5</x:v>
      </x:c>
      <x:c r="E5" s="87" t="str">
        <x:v>공격력 +1/+2/+3/+4/+5</x:v>
      </x:c>
      <x:c r="F5" s="87" t="str">
        <x:v>적용 완료</x:v>
      </x:c>
      <x:c r="G5" s="94" t="str">
        <x:v>현 기본 공격력 10 대비 최대 +50%</x:v>
      </x:c>
    </x:row>
    <x:row r="6">
      <x:c r="A6" s="81" t="str">
        <x:v>RD_BalanceWeight</x:v>
      </x:c>
      <x:c r="B6" s="67" t="str">
        <x:v>균형추</x:v>
      </x:c>
      <x:c r="C6" s="67" t="str">
        <x:v>희귀</x:v>
      </x:c>
      <x:c r="D6" s="93" t="n">
        <x:v>3</x:v>
      </x:c>
      <x:c r="E6" s="87" t="str">
        <x:v>기본공격·스킬 피해 +3/+6/+10%</x:v>
      </x:c>
      <x:c r="F6" s="87" t="str">
        <x:v>유지</x:v>
      </x:c>
      <x:c r="G6" s="94" t="str">
        <x:v>범용 피해 증가</x:v>
      </x:c>
    </x:row>
    <x:row r="7">
      <x:c r="A7" s="81" t="str">
        <x:v>RD_BerserkerCord</x:v>
      </x:c>
      <x:c r="B7" s="67" t="str">
        <x:v>광전사의 끈</x:v>
      </x:c>
      <x:c r="C7" s="67" t="str">
        <x:v>희귀</x:v>
      </x:c>
      <x:c r="D7" s="93" t="n">
        <x:v>3</x:v>
      </x:c>
      <x:c r="E7" s="87" t="str">
        <x:v>최대 체력 -1, 공격속도 +6/+11/+16%</x:v>
      </x:c>
      <x:c r="F7" s="87" t="str">
        <x:v>적용 완료</x:v>
      </x:c>
      <x:c r="G7" s="94" t="str">
        <x:v>최고 레벨에도 대가 유지</x:v>
      </x:c>
    </x:row>
    <x:row r="8">
      <x:c r="A8" s="81" t="str">
        <x:v>RD_BlackIncense</x:v>
      </x:c>
      <x:c r="B8" s="67" t="str">
        <x:v>검은 향로</x:v>
      </x:c>
      <x:c r="C8" s="67" t="str">
        <x:v>희귀</x:v>
      </x:c>
      <x:c r="D8" s="93" t="n">
        <x:v>3</x:v>
      </x:c>
      <x:c r="E8" s="87" t="str">
        <x:v>스킬 피해 +7/+14/+20%, 기본공격 피해 -3/-2/-1%</x:v>
      </x:c>
      <x:c r="F8" s="87" t="str">
        <x:v>유지</x:v>
      </x:c>
      <x:c r="G8" s="94" t="str">
        <x:v>스킬 특화</x:v>
      </x:c>
    </x:row>
    <x:row r="9">
      <x:c r="A9" s="81" t="str">
        <x:v>RD_BloodBonusRelic</x:v>
      </x:c>
      <x:c r="B9" s="67" t="str">
        <x:v>피 부적</x:v>
      </x:c>
      <x:c r="C9" s="67" t="str">
        <x:v>일반</x:v>
      </x:c>
      <x:c r="D9" s="93" t="n">
        <x:v>5</x:v>
      </x:c>
      <x:c r="E9" s="87" t="str">
        <x:v>출혈 피해 +10×레벨</x:v>
      </x:c>
      <x:c r="F9" s="87" t="str">
        <x:v>휴면</x:v>
      </x:c>
      <x:c r="G9" s="94" t="str">
        <x:v>데이터베이스 미등록. 활성화 전 재조정 필요</x:v>
      </x:c>
    </x:row>
    <x:row r="10">
      <x:c r="A10" s="81" t="str">
        <x:v>RD_BluntShield</x:v>
      </x:c>
      <x:c r="B10" s="67" t="str">
        <x:v>무딘 방패</x:v>
      </x:c>
      <x:c r="C10" s="67" t="str">
        <x:v>희귀</x:v>
      </x:c>
      <x:c r="D10" s="93" t="n">
        <x:v>3</x:v>
      </x:c>
      <x:c r="E10" s="87" t="str">
        <x:v>최대 체력 +1/+1/+2, 공격속도 -6/-4/-2%</x:v>
      </x:c>
      <x:c r="F10" s="87" t="str">
        <x:v>적용 완료</x:v>
      </x:c>
      <x:c r="G10" s="94" t="str">
        <x:v>기본 HP 6 기준 최대 +33%</x:v>
      </x:c>
    </x:row>
    <x:row r="11">
      <x:c r="A11" s="81" t="str">
        <x:v>RD_BrokenClock</x:v>
      </x:c>
      <x:c r="B11" s="67" t="str">
        <x:v>깨진 시계</x:v>
      </x:c>
      <x:c r="C11" s="67" t="str">
        <x:v>희귀</x:v>
      </x:c>
      <x:c r="D11" s="93" t="n">
        <x:v>3</x:v>
      </x:c>
      <x:c r="E11" s="87" t="str">
        <x:v>공격속도 +4/+8/+12%, 스킬 피해 -3/-2/-1%</x:v>
      </x:c>
      <x:c r="F11" s="87" t="str">
        <x:v>유지</x:v>
      </x:c>
      <x:c r="G11" s="94" t="str">
        <x:v>기본공격 특화</x:v>
      </x:c>
    </x:row>
    <x:row r="12">
      <x:c r="A12" s="81" t="str">
        <x:v>RD_BrokenCrown</x:v>
      </x:c>
      <x:c r="B12" s="67" t="str">
        <x:v>부서진 왕관</x:v>
      </x:c>
      <x:c r="C12" s="67" t="str">
        <x:v>영웅</x:v>
      </x:c>
      <x:c r="D12" s="93" t="n">
        <x:v>3</x:v>
      </x:c>
      <x:c r="E12" s="87" t="str">
        <x:v>최종 피해 +5/+9/+13%, 최대 체력 -1</x:v>
      </x:c>
      <x:c r="F12" s="87" t="str">
        <x:v>적용 완료</x:v>
      </x:c>
      <x:c r="G12" s="94" t="str">
        <x:v>상시 최종 피해</x:v>
      </x:c>
    </x:row>
    <x:row r="13">
      <x:c r="A13" s="81" t="str">
        <x:v>RD_BronzeDice</x:v>
      </x:c>
      <x:c r="B13" s="67" t="str">
        <x:v>청동 주사위</x:v>
      </x:c>
      <x:c r="C13" s="67" t="str">
        <x:v>일반</x:v>
      </x:c>
      <x:c r="D13" s="93" t="n">
        <x:v>1</x:v>
      </x:c>
      <x:c r="E13" s="87" t="str">
        <x:v>치명타 확률 +5%, 회피율 +5%</x:v>
      </x:c>
      <x:c r="F13" s="87" t="str">
        <x:v>유지</x:v>
      </x:c>
      <x:c r="G13" s="94" t="str">
        <x:v>강한 단일 레벨 일반 유물</x:v>
      </x:c>
    </x:row>
    <x:row r="14">
      <x:c r="A14" s="81" t="str">
        <x:v>RD_BurningFeather</x:v>
      </x:c>
      <x:c r="B14" s="67" t="str">
        <x:v>불타는 깃털</x:v>
      </x:c>
      <x:c r="C14" s="67" t="str">
        <x:v>영웅</x:v>
      </x:c>
      <x:c r="D14" s="93" t="n">
        <x:v>3</x:v>
      </x:c>
      <x:c r="E14" s="87" t="str">
        <x:v>모든 화상 부여량 +1/+2/+3</x:v>
      </x:c>
      <x:c r="F14" s="87" t="str">
        <x:v>유지</x:v>
      </x:c>
      <x:c r="G14" s="94" t="str">
        <x:v>화상 무기 전용 성장</x:v>
      </x:c>
    </x:row>
    <x:row r="15">
      <x:c r="A15" s="81" t="str">
        <x:v>RD_CalmHeart</x:v>
      </x:c>
      <x:c r="B15" s="67" t="str">
        <x:v>여유로운 심장</x:v>
      </x:c>
      <x:c r="C15" s="67" t="str">
        <x:v>희귀</x:v>
      </x:c>
      <x:c r="D15" s="93" t="n">
        <x:v>1</x:v>
      </x:c>
      <x:c r="E15" s="87" t="str">
        <x:v>HP 70% 이상일 때 이동속도 +15%</x:v>
      </x:c>
      <x:c r="F15" s="87" t="str">
        <x:v>유지</x:v>
      </x:c>
      <x:c r="G15" s="94" t="str">
        <x:v>안전 플레이 보상</x:v>
      </x:c>
    </x:row>
    <x:row r="16">
      <x:c r="A16" s="81" t="str">
        <x:v>RD_ChainCharm</x:v>
      </x:c>
      <x:c r="B16" s="67" t="str">
        <x:v>연쇄의 부적</x:v>
      </x:c>
      <x:c r="C16" s="67" t="str">
        <x:v>영웅</x:v>
      </x:c>
      <x:c r="D16" s="93" t="n">
        <x:v>1</x:v>
      </x:c>
      <x:c r="E16" s="87" t="str">
        <x:v>치명타마다 이동속도 +10%, 최대 +30%, 피격 시 초기화</x:v>
      </x:c>
      <x:c r="F16" s="87" t="str">
        <x:v>유지</x:v>
      </x:c>
      <x:c r="G16" s="94" t="str">
        <x:v>치명타 연계</x:v>
      </x:c>
    </x:row>
    <x:row r="17">
      <x:c r="A17" s="81" t="str">
        <x:v>RD_CombatGloves</x:v>
      </x:c>
      <x:c r="B17" s="67" t="str">
        <x:v>전투 장갑</x:v>
      </x:c>
      <x:c r="C17" s="67" t="str">
        <x:v>일반</x:v>
      </x:c>
      <x:c r="D17" s="93" t="n">
        <x:v>3</x:v>
      </x:c>
      <x:c r="E17" s="87" t="str">
        <x:v>공격속도 +3/+6/+10%</x:v>
      </x:c>
      <x:c r="F17" s="87" t="str">
        <x:v>유지</x:v>
      </x:c>
      <x:c r="G17" s="94" t="str">
        <x:v>기본 공격속도 성장</x:v>
      </x:c>
    </x:row>
    <x:row r="18">
      <x:c r="A18" s="81" t="str">
        <x:v>RD_CounterKick</x:v>
      </x:c>
      <x:c r="B18" s="67" t="str">
        <x:v>반격의 박차</x:v>
      </x:c>
      <x:c r="C18" s="67" t="str">
        <x:v>일반</x:v>
      </x:c>
      <x:c r="D18" s="93" t="n">
        <x:v>1</x:v>
      </x:c>
      <x:c r="E18" s="87" t="str">
        <x:v>피격 후 8초간 이동속도 +25%</x:v>
      </x:c>
      <x:c r="F18" s="87" t="str">
        <x:v>유지</x:v>
      </x:c>
      <x:c r="G18" s="94" t="str">
        <x:v>위기 이탈</x:v>
      </x:c>
    </x:row>
    <x:row r="19">
      <x:c r="A19" s="81" t="str">
        <x:v>RD_CrimsonKing</x:v>
      </x:c>
      <x:c r="B19" s="67" t="str">
        <x:v>홍련의 왕관</x:v>
      </x:c>
      <x:c r="C19" s="67" t="str">
        <x:v>영웅</x:v>
      </x:c>
      <x:c r="D19" s="93" t="n">
        <x:v>3</x:v>
      </x:c>
      <x:c r="E19" s="87" t="str">
        <x:v>화상 20/15/10중첩마다 화상 피해 증가, 최대 +30%</x:v>
      </x:c>
      <x:c r="F19" s="87" t="str">
        <x:v>이름 수정</x:v>
      </x:c>
      <x:c r="G19" s="94" t="str">
        <x:v>화상 고중첩 보상</x:v>
      </x:c>
    </x:row>
    <x:row r="20">
      <x:c r="A20" s="81" t="str">
        <x:v>RD_CurrentShard</x:v>
      </x:c>
      <x:c r="B20" s="67" t="str">
        <x:v>전류 조각</x:v>
      </x:c>
      <x:c r="C20" s="67" t="str">
        <x:v>일반</x:v>
      </x:c>
      <x:c r="D20" s="93" t="n">
        <x:v>3</x:v>
      </x:c>
      <x:c r="E20" s="87" t="str">
        <x:v>전기 속성 +3/+6/+10%</x:v>
      </x:c>
      <x:c r="F20" s="87" t="str">
        <x:v>조건 검증</x:v>
      </x:c>
      <x:c r="G20" s="94" t="str">
        <x:v>전기 공격 수단이 없으면 무효</x:v>
      </x:c>
    </x:row>
    <x:row r="21">
      <x:c r="A21" s="81" t="str">
        <x:v>RD_DrunkenRush</x:v>
      </x:c>
      <x:c r="B21" s="67" t="str">
        <x:v>독한 술기운</x:v>
      </x:c>
      <x:c r="C21" s="67" t="str">
        <x:v>희귀</x:v>
      </x:c>
      <x:c r="D21" s="93" t="n">
        <x:v>3</x:v>
      </x:c>
      <x:c r="E21" s="87" t="str">
        <x:v>피격 후 6초간 최종 피해 +4/+8/+12%</x:v>
      </x:c>
      <x:c r="F21" s="87" t="str">
        <x:v>효과 교체 완료</x:v>
      </x:c>
      <x:c r="G21" s="94" t="str">
        <x:v>재발동 시 지속시간만 갱신</x:v>
      </x:c>
    </x:row>
    <x:row r="22">
      <x:c r="A22" s="81" t="str">
        <x:v>RD_EvasionFeather</x:v>
      </x:c>
      <x:c r="B22" s="67" t="str">
        <x:v>회피의 깃</x:v>
      </x:c>
      <x:c r="C22" s="67" t="str">
        <x:v>일반</x:v>
      </x:c>
      <x:c r="D22" s="93" t="n">
        <x:v>3</x:v>
      </x:c>
      <x:c r="E22" s="87" t="str">
        <x:v>회피율 +3/+5/+8%</x:v>
      </x:c>
      <x:c r="F22" s="87" t="str">
        <x:v>유지</x:v>
      </x:c>
      <x:c r="G22" s="94" t="str">
        <x:v>방어 성장</x:v>
      </x:c>
    </x:row>
    <x:row r="23">
      <x:c r="A23" s="81" t="str">
        <x:v>RD_FeatherOrbit</x:v>
      </x:c>
      <x:c r="B23" s="67" t="str">
        <x:v>하얀 깃털</x:v>
      </x:c>
      <x:c r="C23" s="67" t="str">
        <x:v>희귀</x:v>
      </x:c>
      <x:c r="D23" s="93" t="n">
        <x:v>5</x:v>
      </x:c>
      <x:c r="E23" s="87" t="str">
        <x:v>공전 깃털 공격력 계수 35/45/55/65/75%</x:v>
      </x:c>
      <x:c r="F23" s="87" t="str">
        <x:v>적용 완료</x:v>
      </x:c>
      <x:c r="G23" s="94" t="str">
        <x:v>일반 랜덤 드롭 제외 상태</x:v>
      </x:c>
    </x:row>
    <x:row r="24">
      <x:c r="A24" s="81" t="str">
        <x:v>RD_FireBonusRelic</x:v>
      </x:c>
      <x:c r="B24" s="67" t="str">
        <x:v>타오르는 심핵</x:v>
      </x:c>
      <x:c r="C24" s="67" t="str">
        <x:v>일반</x:v>
      </x:c>
      <x:c r="D24" s="93" t="n">
        <x:v>8</x:v>
      </x:c>
      <x:c r="E24" s="87" t="str">
        <x:v>화염 피해 +2/+4/+6/+8/+10/+12/+14/+16</x:v>
      </x:c>
      <x:c r="F24" s="87" t="str">
        <x:v>유지</x:v>
      </x:c>
      <x:c r="G24" s="94" t="str">
        <x:v>화상 피해 기반 수치</x:v>
      </x:c>
    </x:row>
    <x:row r="25">
      <x:c r="A25" s="81" t="str">
        <x:v>RD_FirmStep</x:v>
      </x:c>
      <x:c r="B25" s="67" t="str">
        <x:v>굳센 발걸음</x:v>
      </x:c>
      <x:c r="C25" s="67" t="str">
        <x:v>일반</x:v>
      </x:c>
      <x:c r="D25" s="93" t="n">
        <x:v>3</x:v>
      </x:c>
      <x:c r="E25" s="87" t="str">
        <x:v>넉백 저항 +7/+14/+20</x:v>
      </x:c>
      <x:c r="F25" s="87" t="str">
        <x:v>조건 검증</x:v>
      </x:c>
      <x:c r="G25" s="94" t="str">
        <x:v>실제 넉백 빈도와 체감 확인 필요</x:v>
      </x:c>
    </x:row>
    <x:row r="26">
      <x:c r="A26" s="81" t="str">
        <x:v>RD_FloweringBloomExtension</x:v>
      </x:c>
      <x:c r="B26" s="67" t="str">
        <x:v>귀인의 검흔</x:v>
      </x:c>
      <x:c r="C26" s="67" t="str">
        <x:v>영웅</x:v>
      </x:c>
      <x:c r="D26" s="93" t="n">
        <x:v>1</x:v>
      </x:c>
      <x:c r="E26" s="87" t="str">
        <x:v>개화 중 처치 시 개화 지속시간 +1초</x:v>
      </x:c>
      <x:c r="F26" s="87" t="str">
        <x:v>현 상태 유지</x:v>
      </x:c>
      <x:c r="G26" s="94" t="str">
        <x:v>개화 전용</x:v>
      </x:c>
    </x:row>
    <x:row r="27">
      <x:c r="A27" s="81" t="str">
        <x:v>RD_FocusLens</x:v>
      </x:c>
      <x:c r="B27" s="67" t="str">
        <x:v>집중의 렌즈</x:v>
      </x:c>
      <x:c r="C27" s="67" t="str">
        <x:v>일반</x:v>
      </x:c>
      <x:c r="D27" s="93" t="n">
        <x:v>3</x:v>
      </x:c>
      <x:c r="E27" s="87" t="str">
        <x:v>스킬 피해 +5/+10/+15%</x:v>
      </x:c>
      <x:c r="F27" s="87" t="str">
        <x:v>유지</x:v>
      </x:c>
      <x:c r="G27" s="94" t="str">
        <x:v>스킬 특화</x:v>
      </x:c>
    </x:row>
    <x:row r="28">
      <x:c r="A28" s="81" t="str">
        <x:v>RD_HawkEmblem</x:v>
      </x:c>
      <x:c r="B28" s="67" t="str">
        <x:v>송골매의 증표</x:v>
      </x:c>
      <x:c r="C28" s="67" t="str">
        <x:v>희귀</x:v>
      </x:c>
      <x:c r="D28" s="93" t="n">
        <x:v>1</x:v>
      </x:c>
      <x:c r="E28" s="87" t="str">
        <x:v>추가 이동속도 20%마다 회피율 +3%</x:v>
      </x:c>
      <x:c r="F28" s="87" t="str">
        <x:v>적용 완료</x:v>
      </x:c>
      <x:c r="G28" s="94" t="str">
        <x:v>기존 40% 문턱 완화</x:v>
      </x:c>
    </x:row>
    <x:row r="29">
      <x:c r="A29" s="81" t="str">
        <x:v>RD_HeavyBracelet</x:v>
      </x:c>
      <x:c r="B29" s="67" t="str">
        <x:v>무거운 팔찌</x:v>
      </x:c>
      <x:c r="C29" s="67" t="str">
        <x:v>희귀</x:v>
      </x:c>
      <x:c r="D29" s="93" t="n">
        <x:v>3</x:v>
      </x:c>
      <x:c r="E29" s="87" t="str">
        <x:v>공격력 +6/+11/+16%, 이동속도 -4/-3/-2%</x:v>
      </x:c>
      <x:c r="F29" s="87" t="str">
        <x:v>적용 완료</x:v>
      </x:c>
      <x:c r="G29" s="94" t="str">
        <x:v>최고 레벨에도 대가 유지</x:v>
      </x:c>
    </x:row>
    <x:row r="30">
      <x:c r="A30" s="81" t="str">
        <x:v>RD_HunterMark</x:v>
      </x:c>
      <x:c r="B30" s="67" t="str">
        <x:v>사냥꾼의 표식</x:v>
      </x:c>
      <x:c r="C30" s="67" t="str">
        <x:v>일반</x:v>
      </x:c>
      <x:c r="D30" s="93" t="n">
        <x:v>3</x:v>
      </x:c>
      <x:c r="E30" s="87" t="str">
        <x:v>치명타 확률 +3/+5/+8%</x:v>
      </x:c>
      <x:c r="F30" s="87" t="str">
        <x:v>유지</x:v>
      </x:c>
      <x:c r="G30" s="94" t="str">
        <x:v>치명타 성장</x:v>
      </x:c>
    </x:row>
    <x:row r="31">
      <x:c r="A31" s="81" t="str">
        <x:v>RD_LastBreath</x:v>
      </x:c>
      <x:c r="B31" s="67" t="str">
        <x:v>마지막 숨</x:v>
      </x:c>
      <x:c r="C31" s="67" t="str">
        <x:v>희귀</x:v>
      </x:c>
      <x:c r="D31" s="93" t="n">
        <x:v>1</x:v>
      </x:c>
      <x:c r="E31" s="87" t="str">
        <x:v>HP 50% 이하일 때 공격력 +20%</x:v>
      </x:c>
      <x:c r="F31" s="87" t="str">
        <x:v>유지</x:v>
      </x:c>
      <x:c r="G31" s="94" t="str">
        <x:v>저체력 공격 보상</x:v>
      </x:c>
    </x:row>
    <x:row r="32">
      <x:c r="A32" s="81" t="str">
        <x:v>RD_LightCord</x:v>
      </x:c>
      <x:c r="B32" s="67" t="str">
        <x:v>가벼운 끈</x:v>
      </x:c>
      <x:c r="C32" s="67" t="str">
        <x:v>일반</x:v>
      </x:c>
      <x:c r="D32" s="93" t="n">
        <x:v>3</x:v>
      </x:c>
      <x:c r="E32" s="87" t="str">
        <x:v>이동속도 +3/+6/+10%</x:v>
      </x:c>
      <x:c r="F32" s="87" t="str">
        <x:v>유지</x:v>
      </x:c>
      <x:c r="G32" s="94" t="str">
        <x:v>범용 이동</x:v>
      </x:c>
    </x:row>
    <x:row r="33">
      <x:c r="A33" s="81" t="str">
        <x:v>Relic.New2</x:v>
      </x:c>
      <x:c r="B33" s="67" t="str">
        <x:v>번개 부적</x:v>
      </x:c>
      <x:c r="C33" s="67" t="str">
        <x:v>일반</x:v>
      </x:c>
      <x:c r="D33" s="93" t="n">
        <x:v>5</x:v>
      </x:c>
      <x:c r="E33" s="87" t="str">
        <x:v>적중 시 범위 번개 10/14/18/22/26, 반경 2.5, 쿨다운 0.75초</x:v>
      </x:c>
      <x:c r="F33" s="87" t="str">
        <x:v>휴면 조정 완료</x:v>
      </x:c>
      <x:c r="G33" s="94" t="str">
        <x:v>데이터베이스 미등록</x:v>
      </x:c>
    </x:row>
    <x:row r="34">
      <x:c r="A34" s="81" t="str">
        <x:v>RD_MasterWhetstone</x:v>
      </x:c>
      <x:c r="B34" s="67" t="str">
        <x:v>장인의 숫돌</x:v>
      </x:c>
      <x:c r="C34" s="67" t="str">
        <x:v>희귀</x:v>
      </x:c>
      <x:c r="D34" s="93" t="n">
        <x:v>3</x:v>
      </x:c>
      <x:c r="E34" s="87" t="str">
        <x:v>공격력 +2/+4/+6%, 기본공격 피해 +3/+5/+8%</x:v>
      </x:c>
      <x:c r="F34" s="87" t="str">
        <x:v>유지</x:v>
      </x:c>
      <x:c r="G34" s="94" t="str">
        <x:v>기본공격 복합 강화</x:v>
      </x:c>
    </x:row>
    <x:row r="35">
      <x:c r="A35" s="81" t="str">
        <x:v>RD_MeltedBell</x:v>
      </x:c>
      <x:c r="B35" s="67" t="str">
        <x:v>녹아내린 종</x:v>
      </x:c>
      <x:c r="C35" s="67" t="str">
        <x:v>일반</x:v>
      </x:c>
      <x:c r="D35" s="93" t="n">
        <x:v>5</x:v>
      </x:c>
      <x:c r="E35" s="87" t="str">
        <x:v>화상 주기 0.92/0.85/0.78/0.71/0.65배</x:v>
      </x:c>
      <x:c r="F35" s="87" t="str">
        <x:v>적용 완료</x:v>
      </x:c>
      <x:c r="G35" s="94" t="str">
        <x:v>최대 약 54% DPS 증가</x:v>
      </x:c>
    </x:row>
    <x:row r="36">
      <x:c r="A36" s="81" t="str">
        <x:v>RD_NimbleCloak</x:v>
      </x:c>
      <x:c r="B36" s="67" t="str">
        <x:v>날렵한 망토</x:v>
      </x:c>
      <x:c r="C36" s="67" t="str">
        <x:v>희귀</x:v>
      </x:c>
      <x:c r="D36" s="93" t="n">
        <x:v>3</x:v>
      </x:c>
      <x:c r="E36" s="87" t="str">
        <x:v>이동속도 +3/+5/+8%, 회피율 +2/+3/+5%</x:v>
      </x:c>
      <x:c r="F36" s="87" t="str">
        <x:v>유지</x:v>
      </x:c>
      <x:c r="G36" s="94" t="str">
        <x:v>기동 방어</x:v>
      </x:c>
    </x:row>
    <x:row r="37">
      <x:c r="A37" s="81" t="str">
        <x:v>RD_OneDropOfSwiftness</x:v>
      </x:c>
      <x:c r="B37" s="67" t="str">
        <x:v>한방울의 신속</x:v>
      </x:c>
      <x:c r="C37" s="67" t="str">
        <x:v>영웅</x:v>
      </x:c>
      <x:c r="D37" s="93" t="n">
        <x:v>1</x:v>
      </x:c>
      <x:c r="E37" s="87" t="str">
        <x:v>잔영의 날개 스킬2 처치 시 스킬1 실행 유지</x:v>
      </x:c>
      <x:c r="F37" s="87" t="str">
        <x:v>현 상태 유지</x:v>
      </x:c>
      <x:c r="G37" s="94" t="str">
        <x:v>무기 전용</x:v>
      </x:c>
    </x:row>
    <x:row r="38">
      <x:c r="A38" s="81" t="str">
        <x:v>RD_PortableBrazier</x:v>
      </x:c>
      <x:c r="B38" s="67" t="str">
        <x:v>휴대용 화로</x:v>
      </x:c>
      <x:c r="C38" s="67" t="str">
        <x:v>일반</x:v>
      </x:c>
      <x:c r="D38" s="93" t="n">
        <x:v>5</x:v>
      </x:c>
      <x:c r="E38" s="87" t="str">
        <x:v>비화상 대상 첫 화상 부여량 +1/+2/+3/+4/+5</x:v>
      </x:c>
      <x:c r="F38" s="87" t="str">
        <x:v>유지</x:v>
      </x:c>
      <x:c r="G38" s="94" t="str">
        <x:v>첫 화상 강화</x:v>
      </x:c>
    </x:row>
    <x:row r="39">
      <x:c r="A39" s="81" t="str">
        <x:v>RD_PursuerClaw</x:v>
      </x:c>
      <x:c r="B39" s="67" t="str">
        <x:v>추격자의 발톱</x:v>
      </x:c>
      <x:c r="C39" s="67" t="str">
        <x:v>일반</x:v>
      </x:c>
      <x:c r="D39" s="93" t="n">
        <x:v>1</x:v>
      </x:c>
      <x:c r="E39" s="87" t="str">
        <x:v>처치 후 5초간 이동속도 +15%</x:v>
      </x:c>
      <x:c r="F39" s="87" t="str">
        <x:v>유지</x:v>
      </x:c>
      <x:c r="G39" s="94" t="str">
        <x:v>처치 기동</x:v>
      </x:c>
    </x:row>
    <x:row r="40">
      <x:c r="A40" s="81" t="str">
        <x:v>RD_RedContract</x:v>
      </x:c>
      <x:c r="B40" s="67" t="str">
        <x:v>붉은 계약</x:v>
      </x:c>
      <x:c r="C40" s="67" t="str">
        <x:v>희귀</x:v>
      </x:c>
      <x:c r="D40" s="93" t="n">
        <x:v>1</x:v>
      </x:c>
      <x:c r="E40" s="87" t="str">
        <x:v>처치 후 4초간 공격력 +15%</x:v>
      </x:c>
      <x:c r="F40" s="87" t="str">
        <x:v>유지</x:v>
      </x:c>
      <x:c r="G40" s="94" t="str">
        <x:v>처치 공격 강화</x:v>
      </x:c>
    </x:row>
    <x:row r="41">
      <x:c r="A41" s="81" t="str">
        <x:v>RD_RiftStone</x:v>
      </x:c>
      <x:c r="B41" s="67" t="str">
        <x:v>균열석</x:v>
      </x:c>
      <x:c r="C41" s="67" t="str">
        <x:v>영웅</x:v>
      </x:c>
      <x:c r="D41" s="93" t="n">
        <x:v>1</x:v>
      </x:c>
      <x:c r="E41" s="87" t="str">
        <x:v>최종 피해 +8%</x:v>
      </x:c>
      <x:c r="F41" s="87" t="str">
        <x:v>유지</x:v>
      </x:c>
      <x:c r="G41" s="94" t="str">
        <x:v>안정적인 범용 영웅 유물</x:v>
      </x:c>
    </x:row>
    <x:row r="42">
      <x:c r="A42" s="81" t="str">
        <x:v>RD_RotatingIornBall</x:v>
      </x:c>
      <x:c r="B42" s="67" t="str">
        <x:v>회전하는 철구</x:v>
      </x:c>
      <x:c r="C42" s="67" t="str">
        <x:v>일반</x:v>
      </x:c>
      <x:c r="D42" s="93" t="n">
        <x:v>1</x:v>
      </x:c>
      <x:c r="E42" s="87" t="str">
        <x:v>처치 후 4초간 이동속도 +18%</x:v>
      </x:c>
      <x:c r="F42" s="87" t="str">
        <x:v>효과 교체 후보</x:v>
      </x:c>
      <x:c r="G42" s="94" t="str">
        <x:v>추격자의 발톱과 역할 중복</x:v>
      </x:c>
    </x:row>
    <x:row r="43">
      <x:c r="A43" s="81" t="str">
        <x:v>RD_RunawayShoes</x:v>
      </x:c>
      <x:c r="B43" s="67" t="str">
        <x:v>도망자의 신발</x:v>
      </x:c>
      <x:c r="C43" s="67" t="str">
        <x:v>희귀</x:v>
      </x:c>
      <x:c r="D43" s="93" t="n">
        <x:v>1</x:v>
      </x:c>
      <x:c r="E43" s="87" t="str">
        <x:v>피격 후 3초간 회피율 +20%</x:v>
      </x:c>
      <x:c r="F43" s="87" t="str">
        <x:v>조건 검증</x:v>
      </x:c>
      <x:c r="G43" s="94" t="str">
        <x:v>피격 무적시간과 중복 여부 확인</x:v>
      </x:c>
    </x:row>
    <x:row r="44">
      <x:c r="A44" s="81" t="str">
        <x:v>RD_RunningLedger</x:v>
      </x:c>
      <x:c r="B44" s="67" t="str">
        <x:v>달리는 장부</x:v>
      </x:c>
      <x:c r="C44" s="67" t="str">
        <x:v>희귀</x:v>
      </x:c>
      <x:c r="D44" s="93" t="n">
        <x:v>1</x:v>
      </x:c>
      <x:c r="E44" s="87" t="str">
        <x:v>치명타마다 이동속도 +2%, 최대 +50%, 피격 시 초기화</x:v>
      </x:c>
      <x:c r="F44" s="87" t="str">
        <x:v>유지</x:v>
      </x:c>
      <x:c r="G44" s="94" t="str">
        <x:v>일반 랜덤 드롭 제외 상태</x:v>
      </x:c>
    </x:row>
    <x:row r="45">
      <x:c r="A45" s="81" t="str">
        <x:v>RD_ScorchingSong</x:v>
      </x:c>
      <x:c r="B45" s="67" t="str">
        <x:v>작열하는 송곳</x:v>
      </x:c>
      <x:c r="C45" s="67" t="str">
        <x:v>희귀</x:v>
      </x:c>
      <x:c r="D45" s="93" t="n">
        <x:v>5</x:v>
      </x:c>
      <x:c r="E45" s="87" t="str">
        <x:v>대상에게 화상이 없으면 화상 2/3/4/5/6 부여</x:v>
      </x:c>
      <x:c r="F45" s="87" t="str">
        <x:v>효과 교체 완료</x:v>
      </x:c>
      <x:c r="G45" s="94" t="str">
        <x:v>기존 화염 공격과 추가 중첩 없음. 최소 화염값 2</x:v>
      </x:c>
    </x:row>
    <x:row r="46">
      <x:c r="A46" s="81" t="str">
        <x:v>RD_SharpAwl</x:v>
      </x:c>
      <x:c r="B46" s="67" t="str">
        <x:v>예리한 송곳</x:v>
      </x:c>
      <x:c r="C46" s="67" t="str">
        <x:v>희귀</x:v>
      </x:c>
      <x:c r="D46" s="93" t="n">
        <x:v>3</x:v>
      </x:c>
      <x:c r="E46" s="87" t="str">
        <x:v>치명타 피해 +12/+24/+35%p</x:v>
      </x:c>
      <x:c r="F46" s="87" t="str">
        <x:v>유지</x:v>
      </x:c>
      <x:c r="G46" s="94" t="str">
        <x:v>치명타 확률 필요</x:v>
      </x:c>
    </x:row>
    <x:row r="47">
      <x:c r="A47" s="81" t="str">
        <x:v>RD_SmallHeart</x:v>
      </x:c>
      <x:c r="B47" s="67" t="str">
        <x:v>작은 심장</x:v>
      </x:c>
      <x:c r="C47" s="67" t="str">
        <x:v>희귀</x:v>
      </x:c>
      <x:c r="D47" s="93" t="n">
        <x:v>1</x:v>
      </x:c>
      <x:c r="E47" s="87" t="str">
        <x:v>최대 체력 +1, 피격 후 5초간 이동속도 +10%</x:v>
      </x:c>
      <x:c r="F47" s="87" t="str">
        <x:v>유지</x:v>
      </x:c>
      <x:c r="G47" s="94" t="str">
        <x:v>생존 복합</x:v>
      </x:c>
    </x:row>
    <x:row r="48">
      <x:c r="A48" s="81" t="str">
        <x:v>RD_SmokyIncense</x:v>
      </x:c>
      <x:c r="B48" s="67" t="str">
        <x:v>매캐한 향로</x:v>
      </x:c>
      <x:c r="C48" s="67" t="str">
        <x:v>일반</x:v>
      </x:c>
      <x:c r="D48" s="93" t="n">
        <x:v>5</x:v>
      </x:c>
      <x:c r="E48" s="87" t="str">
        <x:v>화상 피해 계수 +10/+20/+30/+40/+50%p</x:v>
      </x:c>
      <x:c r="F48" s="87" t="str">
        <x:v>유지</x:v>
      </x:c>
      <x:c r="G48" s="94" t="str">
        <x:v>화상 피해 성장</x:v>
      </x:c>
    </x:row>
    <x:row r="49">
      <x:c r="A49" s="81" t="str">
        <x:v>Relic.New1</x:v>
      </x:c>
      <x:c r="B49" s="67" t="str">
        <x:v>신속의 부츠</x:v>
      </x:c>
      <x:c r="C49" s="67" t="str">
        <x:v>일반</x:v>
      </x:c>
      <x:c r="D49" s="93" t="n">
        <x:v>3</x:v>
      </x:c>
      <x:c r="E49" s="87" t="str">
        <x:v>이동속도 +5/+10/+15%</x:v>
      </x:c>
      <x:c r="F49" s="87" t="str">
        <x:v>적용 완료</x:v>
      </x:c>
      <x:c r="G49" s="94" t="str">
        <x:v>기존 최대 24% 하향</x:v>
      </x:c>
    </x:row>
    <x:row r="50">
      <x:c r="A50" s="81" t="str">
        <x:v>RD_SpeedMedal</x:v>
      </x:c>
      <x:c r="B50" s="67" t="str">
        <x:v>스피드 메달</x:v>
      </x:c>
      <x:c r="C50" s="67" t="str">
        <x:v>일반</x:v>
      </x:c>
      <x:c r="D50" s="93" t="n">
        <x:v>5</x:v>
      </x:c>
      <x:c r="E50" s="87" t="str">
        <x:v>이동속도 +3/+5/+7/+9/+12%, 치명타 +2/+4/+6/+8/+10%</x:v>
      </x:c>
      <x:c r="F50" s="87" t="str">
        <x:v>적용 완료</x:v>
      </x:c>
      <x:c r="G50" s="94" t="str">
        <x:v>복합 성장 완화</x:v>
      </x:c>
    </x:row>
    <x:row r="51">
      <x:c r="A51" s="81" t="str">
        <x:v>RD_Stenographer</x:v>
      </x:c>
      <x:c r="B51" s="67" t="str">
        <x:v>속기사</x:v>
      </x:c>
      <x:c r="C51" s="67" t="str">
        <x:v>영웅</x:v>
      </x:c>
      <x:c r="D51" s="93" t="n">
        <x:v>1</x:v>
      </x:c>
      <x:c r="E51" s="87" t="str">
        <x:v>잔영의 날개 스킬1 이동속도 단계 강화</x:v>
      </x:c>
      <x:c r="F51" s="87" t="str">
        <x:v>현 상태 유지</x:v>
      </x:c>
      <x:c r="G51" s="94" t="str">
        <x:v>무기 전용</x:v>
      </x:c>
    </x:row>
    <x:row r="52">
      <x:c r="A52" s="81" t="str">
        <x:v>RD_SunFragment</x:v>
      </x:c>
      <x:c r="B52" s="67" t="str">
        <x:v>태양의 파편</x:v>
      </x:c>
      <x:c r="C52" s="67" t="str">
        <x:v>희귀</x:v>
      </x:c>
      <x:c r="D52" s="93" t="n">
        <x:v>3</x:v>
      </x:c>
      <x:c r="E52" s="87" t="str">
        <x:v>2초마다 파편 생성, 최대 1/2/3개, 접촉 시 화상 4/6/8</x:v>
      </x:c>
      <x:c r="F52" s="87" t="str">
        <x:v>유지</x:v>
      </x:c>
      <x:c r="G52" s="94" t="str">
        <x:v>독립 화상 시동 가능</x:v>
      </x:c>
    </x:row>
    <x:row r="53">
      <x:c r="A53" s="81" t="str">
        <x:v>RD_SurvivorNecklace</x:v>
      </x:c>
      <x:c r="B53" s="67" t="str">
        <x:v>생존자의 목걸이</x:v>
      </x:c>
      <x:c r="C53" s="67" t="str">
        <x:v>일반</x:v>
      </x:c>
      <x:c r="D53" s="93" t="n">
        <x:v>3</x:v>
      </x:c>
      <x:c r="E53" s="87" t="str">
        <x:v>최대 체력 +1/+1/+2, 이동속도 +3/+5/+7%</x:v>
      </x:c>
      <x:c r="F53" s="87" t="str">
        <x:v>적용 완료</x:v>
      </x:c>
      <x:c r="G53" s="94" t="str">
        <x:v>레벨 효용 보완</x:v>
      </x:c>
    </x:row>
    <x:row r="54">
      <x:c r="A54" s="81" t="str">
        <x:v>RD_ThinArmorShard</x:v>
      </x:c>
      <x:c r="B54" s="67" t="str">
        <x:v>얇은 갑옷 조각</x:v>
      </x:c>
      <x:c r="C54" s="67" t="str">
        <x:v>일반</x:v>
      </x:c>
      <x:c r="D54" s="93" t="n">
        <x:v>3</x:v>
      </x:c>
      <x:c r="E54" s="87" t="str">
        <x:v>최대 체력 +1/+1/+2, 회피율 +2/+3/+4%</x:v>
      </x:c>
      <x:c r="F54" s="87" t="str">
        <x:v>적용 완료</x:v>
      </x:c>
      <x:c r="G54" s="94" t="str">
        <x:v>레벨 효용 보완</x:v>
      </x:c>
    </x:row>
    <x:row r="55">
      <x:c r="A55" s="81" t="str">
        <x:v>RD_TonicGombangdae</x:v>
      </x:c>
      <x:c r="B55" s="67" t="str">
        <x:v>보약 곰방대</x:v>
      </x:c>
      <x:c r="C55" s="67" t="str">
        <x:v>일반</x:v>
      </x:c>
      <x:c r="D55" s="93" t="n">
        <x:v>5</x:v>
      </x:c>
      <x:c r="E55" s="87" t="str">
        <x:v>추가 이동속도 10%마다 치명타 +1/+1.25/+1.5/+1.75/+2%p</x:v>
      </x:c>
      <x:c r="F55" s="87" t="str">
        <x:v>적용 완료</x:v>
      </x:c>
      <x:c r="G55" s="94" t="str">
        <x:v>레벨별 변환율 적용</x:v>
      </x:c>
    </x:row>
    <x:row r="56">
      <x:c r="A56" s="81" t="str">
        <x:v>RD_ToughBandage</x:v>
      </x:c>
      <x:c r="B56" s="67" t="str">
        <x:v>질긴 붕대</x:v>
      </x:c>
      <x:c r="C56" s="67" t="str">
        <x:v>일반</x:v>
      </x:c>
      <x:c r="D56" s="93" t="n">
        <x:v>2</x:v>
      </x:c>
      <x:c r="E56" s="87" t="str">
        <x:v>최대 체력 +1/+2</x:v>
      </x:c>
      <x:c r="F56" s="87" t="str">
        <x:v>적용 완료</x:v>
      </x:c>
      <x:c r="G56" s="94" t="str">
        <x:v>무효 레벨 제거</x:v>
      </x:c>
    </x:row>
    <x:row r="57">
      <x:c r="A57" s="81" t="str">
        <x:v>RD_VictoryFlag</x:v>
      </x:c>
      <x:c r="B57" s="67" t="str">
        <x:v>승리의 깃발</x:v>
      </x:c>
      <x:c r="C57" s="67" t="str">
        <x:v>희귀</x:v>
      </x:c>
      <x:c r="D57" s="93" t="n">
        <x:v>1</x:v>
      </x:c>
      <x:c r="E57" s="87" t="str">
        <x:v>처치 후 4초간 공격속도 +20%</x:v>
      </x:c>
      <x:c r="F57" s="87" t="str">
        <x:v>유지</x:v>
      </x:c>
      <x:c r="G57" s="94" t="str">
        <x:v>처치 공속</x:v>
      </x:c>
    </x:row>
    <x:row r="58">
      <x:c r="A58" s="81" t="str">
        <x:v>RD_WarriorOath</x:v>
      </x:c>
      <x:c r="B58" s="67" t="str">
        <x:v>전사의 맹세</x:v>
      </x:c>
      <x:c r="C58" s="67" t="str">
        <x:v>희귀</x:v>
      </x:c>
      <x:c r="D58" s="93" t="n">
        <x:v>3</x:v>
      </x:c>
      <x:c r="E58" s="87" t="str">
        <x:v>기본공격 피해 +7/+14/+20%, 스킬 피해 -3/-2/-1%</x:v>
      </x:c>
      <x:c r="F58" s="87" t="str">
        <x:v>유지</x:v>
      </x:c>
      <x:c r="G58" s="94" t="str">
        <x:v>기본공격 특화</x:v>
      </x:c>
    </x:row>
    <x:row r="59">
      <x:c r="A59" s="81" t="str">
        <x:v>RD_WindTablet</x:v>
      </x:c>
      <x:c r="B59" s="67" t="str">
        <x:v>질풍의 석판</x:v>
      </x:c>
      <x:c r="C59" s="67" t="str">
        <x:v>일반</x:v>
      </x:c>
      <x:c r="D59" s="93" t="n">
        <x:v>5</x:v>
      </x:c>
      <x:c r="E59" s="87" t="str">
        <x:v>최대 체력 -1, 이동속도 +6/+9/+12/+15/+18%</x:v>
      </x:c>
      <x:c r="F59" s="87" t="str">
        <x:v>적용 완료</x:v>
      </x:c>
      <x:c r="G59" s="94" t="str">
        <x:v>레벨당 HP 손실 제거</x:v>
      </x:c>
    </x:row>
    <x:row r="60">
      <x:c r="A60" s="83" t="str">
        <x:v>RD_WornWhetstone</x:v>
      </x:c>
      <x:c r="B60" s="84" t="str">
        <x:v>낡은 숫돌</x:v>
      </x:c>
      <x:c r="C60" s="84" t="str">
        <x:v>일반</x:v>
      </x:c>
      <x:c r="D60" s="95" t="n">
        <x:v>3</x:v>
      </x:c>
      <x:c r="E60" s="96" t="str">
        <x:v>공격력 +3/+6/+10%</x:v>
      </x:c>
      <x:c r="F60" s="96" t="str">
        <x:v>유지</x:v>
      </x:c>
      <x:c r="G60" s="97" t="str">
        <x:v>범용 공격력</x:v>
      </x:c>
    </x:row>
  </x:sheetData>
  <x:mergeCells>
    <x:mergeCell ref="A2:G2"/>
  </x:mergeCells>
  <x:conditionalFormatting sqref="F5:F60">
    <x:cfRule type="containsText" dxfId="0" priority="1" operator="containsText" text="적용 완료"/>
    <x:cfRule type="containsText" dxfId="1" priority="2" operator="containsText" text="효과 교체"/>
    <x:cfRule type="containsText" dxfId="2" priority="3" operator="containsText" text="조건 검증"/>
    <x:cfRule type="containsText" dxfId="3" priority="4" operator="containsText" text="휴면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2">
      <x:c r="A2" s="88" t="str">
        <x:v>유물 수치 시뮬레이션</x:v>
      </x:c>
      <x:c r="B2" s="88"/>
      <x:c r="C2" s="88"/>
      <x:c r="D2" s="88"/>
      <x:c r="E2" s="88"/>
      <x:c r="F2" s="88"/>
      <x:c r="G2" s="88"/>
      <x:c r="H2" s="88"/>
      <x:c r="I2" s="88"/>
    </x:row>
    <x:row r="3">
      <x:c r="A3" s="89"/>
      <x:c r="B3" s="89"/>
      <x:c r="C3" s="89"/>
      <x:c r="D3" s="89"/>
      <x:c r="E3" s="89"/>
      <x:c r="F3" s="89"/>
      <x:c r="G3" s="89"/>
      <x:c r="H3" s="89"/>
      <x:c r="I3" s="89"/>
    </x:row>
    <x:row r="4">
      <x:c r="A4" s="98" t="str">
        <x:v>수정 가능한 가정</x:v>
      </x:c>
      <x:c r="B4" s="98" t="str">
        <x:v>값</x:v>
      </x:c>
      <x:c r="C4" s="98" t="str">
        <x:v>단위</x:v>
      </x:c>
      <x:c r="D4" s="98" t="str">
        <x:v>설명</x:v>
      </x:c>
      <x:c r="E4" s="67"/>
      <x:c r="F4" s="67"/>
      <x:c r="G4" s="67"/>
      <x:c r="H4" s="67"/>
      <x:c r="I4" s="67"/>
    </x:row>
    <x:row r="5">
      <x:c r="A5" s="67" t="str">
        <x:v>기본 공격력</x:v>
      </x:c>
      <x:c r="B5" s="99" t="n">
        <x:v>10</x:v>
      </x:c>
      <x:c r="C5" s="67" t="str">
        <x:v>피해</x:v>
      </x:c>
      <x:c r="D5" s="67" t="str">
        <x:v>플레이어 AttackBase</x:v>
      </x:c>
      <x:c r="E5" s="67"/>
      <x:c r="F5" s="67"/>
      <x:c r="G5" s="67"/>
      <x:c r="H5" s="67"/>
      <x:c r="I5" s="67"/>
    </x:row>
    <x:row r="6">
      <x:c r="A6" s="67" t="str">
        <x:v>기본 최대 체력</x:v>
      </x:c>
      <x:c r="B6" s="99" t="n">
        <x:v>6</x:v>
      </x:c>
      <x:c r="C6" s="67" t="str">
        <x:v>HP</x:v>
      </x:c>
      <x:c r="D6" s="67" t="str">
        <x:v>현재 플레이어 기준</x:v>
      </x:c>
      <x:c r="E6" s="67"/>
      <x:c r="F6" s="67"/>
      <x:c r="G6" s="67"/>
      <x:c r="H6" s="67"/>
      <x:c r="I6" s="67"/>
    </x:row>
    <x:row r="7">
      <x:c r="A7" s="67" t="str">
        <x:v>홍련의 한계선 화염 공격력</x:v>
      </x:c>
      <x:c r="B7" s="99" t="n">
        <x:v>5</x:v>
      </x:c>
      <x:c r="C7" s="67" t="str">
        <x:v>화염 피해</x:v>
      </x:c>
      <x:c r="D7" s="67" t="str">
        <x:v>무기 장착 보정</x:v>
      </x:c>
      <x:c r="E7" s="67"/>
      <x:c r="F7" s="67"/>
      <x:c r="G7" s="67"/>
      <x:c r="H7" s="67"/>
      <x:c r="I7" s="67"/>
    </x:row>
    <x:row r="8">
      <x:c r="A8" s="67" t="str">
        <x:v>기본 화상 피해 계수</x:v>
      </x:c>
      <x:c r="B8" s="100" t="n">
        <x:v>0.5</x:v>
      </x:c>
      <x:c r="C8" s="67" t="str">
        <x:v>배</x:v>
      </x:c>
      <x:c r="D8" s="67" t="str">
        <x:v>화염 공격력 × 계수</x:v>
      </x:c>
      <x:c r="E8" s="67"/>
      <x:c r="F8" s="67"/>
      <x:c r="G8" s="67"/>
      <x:c r="H8" s="67"/>
      <x:c r="I8" s="67"/>
    </x:row>
    <x:row r="9">
      <x:c r="A9" s="67" t="str">
        <x:v>기본 화상 주기</x:v>
      </x:c>
      <x:c r="B9" s="100" t="n">
        <x:v>1</x:v>
      </x:c>
      <x:c r="C9" s="67" t="str">
        <x:v>초</x:v>
      </x:c>
      <x:c r="D9" s="67" t="str">
        <x:v>1중첩 소모 간격</x:v>
      </x:c>
      <x:c r="E9" s="67"/>
      <x:c r="F9" s="67"/>
      <x:c r="G9" s="67"/>
      <x:c r="H9" s="67"/>
      <x:c r="I9" s="67"/>
    </x:row>
    <x:row r="10">
      <x:c r="A10" s="67" t="str">
        <x:v>작열하는 송곳 최소 화염값</x:v>
      </x:c>
      <x:c r="B10" s="99" t="n">
        <x:v>2</x:v>
      </x:c>
      <x:c r="C10" s="67" t="str">
        <x:v>화염 피해</x:v>
      </x:c>
      <x:c r="D10" s="67" t="str">
        <x:v>실제 화염값이 더 높으면 적용하지 않음</x:v>
      </x:c>
      <x:c r="E10" s="67"/>
      <x:c r="F10" s="67"/>
      <x:c r="G10" s="67"/>
      <x:c r="H10" s="67"/>
      <x:c r="I10" s="67"/>
    </x:row>
    <x:row r="11">
      <x:c r="A11" s="67" t="str">
        <x:v>홍련의 한계선 기본 화상</x:v>
      </x:c>
      <x:c r="B11" s="99" t="n">
        <x:v>3</x:v>
      </x:c>
      <x:c r="C11" s="67" t="str">
        <x:v>중첩</x:v>
      </x:c>
      <x:c r="D11" s="67" t="str">
        <x:v>기본 공격 1회</x:v>
      </x:c>
      <x:c r="E11" s="67"/>
      <x:c r="F11" s="67"/>
      <x:c r="G11" s="67"/>
      <x:c r="H11" s="67"/>
      <x:c r="I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</x:row>
    <x:row r="14">
      <x:c r="A14" s="101" t="str">
        <x:v>화상 시동 및 기존 화염 무기 비교</x:v>
      </x:c>
      <x:c r="B14" s="101"/>
      <x:c r="C14" s="101"/>
      <x:c r="D14" s="101"/>
      <x:c r="E14" s="101"/>
      <x:c r="F14" s="101"/>
      <x:c r="G14" s="101"/>
      <x:c r="H14" s="101"/>
      <x:c r="I14" s="101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</x:row>
    <x:row r="16">
      <x:c r="A16" s="76" t="str">
        <x:v>시나리오</x:v>
      </x:c>
      <x:c r="B16" s="76" t="str">
        <x:v>실제 화염</x:v>
      </x:c>
      <x:c r="C16" s="76" t="str">
        <x:v>최소 화염 적용 후</x:v>
      </x:c>
      <x:c r="D16" s="76" t="str">
        <x:v>초기 화상</x:v>
      </x:c>
      <x:c r="E16" s="76" t="str">
        <x:v>틱 피해</x:v>
      </x:c>
      <x:c r="F16" s="76" t="str">
        <x:v>지속시간</x:v>
      </x:c>
      <x:c r="G16" s="76" t="str">
        <x:v>총 화상 피해</x:v>
      </x:c>
      <x:c r="H16" s="76" t="str">
        <x:v>기존 대비</x:v>
      </x:c>
      <x:c r="I16" s="76" t="str">
        <x:v>판정</x:v>
      </x:c>
    </x:row>
    <x:row r="17">
      <x:c r="A17" s="67" t="str">
        <x:v>일반 무기, 유물 없음</x:v>
      </x:c>
      <x:c r="B17" s="67" t="n">
        <x:v>0</x:v>
      </x:c>
      <x:c r="C17" s="67" t="n">
        <x:f>IF(D17=0,B17,MAX(B17,$B$10))</x:f>
        <x:v>0</x:v>
      </x:c>
      <x:c r="D17" s="67" t="n">
        <x:v>0</x:v>
      </x:c>
      <x:c r="E17" s="67" t="n">
        <x:f>ROUND(C17*$B$8,0)</x:f>
        <x:v>0</x:v>
      </x:c>
      <x:c r="F17" s="67" t="n">
        <x:f>D17*$B$9</x:f>
        <x:v>0</x:v>
      </x:c>
      <x:c r="G17" s="67" t="n">
        <x:f>D17*E17</x:f>
        <x:v>0</x:v>
      </x:c>
      <x:c r="H17" s="82" t="n">
        <x:f>0</x:f>
        <x:v>0</x:v>
      </x:c>
      <x:c r="I17" s="67" t="str">
        <x:v>기준</x:v>
      </x:c>
    </x:row>
    <x:row r="18">
      <x:c r="A18" s="67" t="str">
        <x:v>일반 무기 + 송곳 Lv1</x:v>
      </x:c>
      <x:c r="B18" s="67" t="n">
        <x:v>0</x:v>
      </x:c>
      <x:c r="C18" s="67" t="n">
        <x:f>IF(D18=0,B18,MAX(B18,$B$10))</x:f>
        <x:v>2</x:v>
      </x:c>
      <x:c r="D18" s="67" t="n">
        <x:v>2</x:v>
      </x:c>
      <x:c r="E18" s="67" t="n">
        <x:f>ROUND(C18*$B$8,0)</x:f>
        <x:v>1</x:v>
      </x:c>
      <x:c r="F18" s="67" t="n">
        <x:f>D18*$B$9</x:f>
        <x:v>2</x:v>
      </x:c>
      <x:c r="G18" s="67" t="n">
        <x:f>D18*E18</x:f>
        <x:v>2</x:v>
      </x:c>
      <x:c r="H18" s="82" t="n">
        <x:f>0</x:f>
        <x:v>0</x:v>
      </x:c>
      <x:c r="I18" s="67" t="str">
        <x:v>안전</x:v>
      </x:c>
    </x:row>
    <x:row r="19">
      <x:c r="A19" s="67" t="str">
        <x:v>일반 무기 + 송곳 Lv5</x:v>
      </x:c>
      <x:c r="B19" s="67" t="n">
        <x:v>0</x:v>
      </x:c>
      <x:c r="C19" s="67" t="n">
        <x:f>IF(D19=0,B19,MAX(B19,$B$10))</x:f>
        <x:v>2</x:v>
      </x:c>
      <x:c r="D19" s="67" t="n">
        <x:v>6</x:v>
      </x:c>
      <x:c r="E19" s="67" t="n">
        <x:f>ROUND(C19*$B$8,0)</x:f>
        <x:v>1</x:v>
      </x:c>
      <x:c r="F19" s="67" t="n">
        <x:f>D19*$B$9</x:f>
        <x:v>6</x:v>
      </x:c>
      <x:c r="G19" s="67" t="n">
        <x:f>D19*E19</x:f>
        <x:v>6</x:v>
      </x:c>
      <x:c r="H19" s="82" t="n">
        <x:f>0</x:f>
        <x:v>0</x:v>
      </x:c>
      <x:c r="I19" s="67" t="str">
        <x:v>안전</x:v>
      </x:c>
    </x:row>
    <x:row r="20">
      <x:c r="A20" s="67" t="str">
        <x:v>홍련의 한계선만</x:v>
      </x:c>
      <x:c r="B20" s="67" t="n">
        <x:v>5</x:v>
      </x:c>
      <x:c r="C20" s="67" t="n">
        <x:f>IF(D20=0,B20,MAX(B20,$B$10))</x:f>
        <x:v>5</x:v>
      </x:c>
      <x:c r="D20" s="67" t="n">
        <x:v>3</x:v>
      </x:c>
      <x:c r="E20" s="67" t="n">
        <x:f>ROUND(C20*$B$8,0)</x:f>
        <x:v>3</x:v>
      </x:c>
      <x:c r="F20" s="67" t="n">
        <x:f>D20*$B$9</x:f>
        <x:v>3</x:v>
      </x:c>
      <x:c r="G20" s="67" t="n">
        <x:f>D20*E20</x:f>
        <x:v>9</x:v>
      </x:c>
      <x:c r="H20" s="82" t="n">
        <x:f>0</x:f>
        <x:v>0</x:v>
      </x:c>
      <x:c r="I20" s="67" t="str">
        <x:v>기준</x:v>
      </x:c>
    </x:row>
    <x:row r="21">
      <x:c r="A21" s="67" t="str">
        <x:v>홍련의 한계선 + 송곳 Lv5 (안전 규칙)</x:v>
      </x:c>
      <x:c r="B21" s="67" t="n">
        <x:v>5</x:v>
      </x:c>
      <x:c r="C21" s="67" t="n">
        <x:f>IF(D21=0,B21,MAX(B21,$B$10))</x:f>
        <x:v>5</x:v>
      </x:c>
      <x:c r="D21" s="67" t="n">
        <x:v>3</x:v>
      </x:c>
      <x:c r="E21" s="67" t="n">
        <x:f>ROUND(C21*$B$8,0)</x:f>
        <x:v>3</x:v>
      </x:c>
      <x:c r="F21" s="67" t="n">
        <x:f>D21*$B$9</x:f>
        <x:v>3</x:v>
      </x:c>
      <x:c r="G21" s="67" t="n">
        <x:f>D21*E21</x:f>
        <x:v>9</x:v>
      </x:c>
      <x:c r="H21" s="82" t="n">
        <x:f>IF(G20=0,0,G21/G20-1)</x:f>
        <x:v>0</x:v>
      </x:c>
      <x:c r="I21" s="67" t="str">
        <x:v>안전</x:v>
      </x:c>
    </x:row>
    <x:row r="22">
      <x:c r="A22" s="67" t="str">
        <x:v>홍련의 한계선 + 송곳 Lv5 (중첩 허용 가정)</x:v>
      </x:c>
      <x:c r="B22" s="67" t="n">
        <x:v>5</x:v>
      </x:c>
      <x:c r="C22" s="67" t="n">
        <x:f>IF(D22=0,B22,MAX(B22,$B$10))</x:f>
        <x:v>5</x:v>
      </x:c>
      <x:c r="D22" s="67" t="n">
        <x:v>9</x:v>
      </x:c>
      <x:c r="E22" s="67" t="n">
        <x:f>ROUND(C22*$B$8,0)</x:f>
        <x:v>3</x:v>
      </x:c>
      <x:c r="F22" s="67" t="n">
        <x:f>D22*$B$9</x:f>
        <x:v>9</x:v>
      </x:c>
      <x:c r="G22" s="67" t="n">
        <x:f>D22*E22</x:f>
        <x:v>27</x:v>
      </x:c>
      <x:c r="H22" s="82" t="n">
        <x:f>IF(G20=0,0,G22/G20-1)</x:f>
        <x:v>2</x:v>
      </x:c>
      <x:c r="I22" s="102" t="str">
        <x:v>위험</x:v>
      </x:c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</x:row>
    <x:row r="25">
      <x:c r="A25" s="101" t="str">
        <x:v>독한 술기운 평균 기여도</x:v>
      </x:c>
      <x:c r="B25" s="101"/>
      <x:c r="C25" s="101"/>
      <x:c r="D25" s="101"/>
      <x:c r="E25" s="101"/>
      <x:c r="F25" s="101"/>
      <x:c r="G25" s="67"/>
      <x:c r="H25" s="67"/>
      <x:c r="I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</x:row>
    <x:row r="27">
      <x:c r="A27" s="98" t="str">
        <x:v>레벨</x:v>
      </x:c>
      <x:c r="B27" s="98" t="str">
        <x:v>발동 중 최종 피해</x:v>
      </x:c>
      <x:c r="C27" s="98" t="str">
        <x:v>가동률 25%</x:v>
      </x:c>
      <x:c r="D27" s="98" t="str">
        <x:v>가동률 50%</x:v>
      </x:c>
      <x:c r="E27" s="98" t="str">
        <x:v>가동률 75%</x:v>
      </x:c>
      <x:c r="F27" s="98" t="str">
        <x:v>판정</x:v>
      </x:c>
      <x:c r="G27" s="67"/>
      <x:c r="H27" s="67"/>
      <x:c r="I27" s="67"/>
    </x:row>
    <x:row r="28">
      <x:c r="A28" s="67" t="n">
        <x:v>1</x:v>
      </x:c>
      <x:c r="B28" s="103" t="n">
        <x:v>0.04</x:v>
      </x:c>
      <x:c r="C28" s="103" t="n">
        <x:f>B28*25%</x:f>
        <x:v>0.01</x:v>
      </x:c>
      <x:c r="D28" s="103" t="n">
        <x:f>B28*50%</x:f>
        <x:v>0.02</x:v>
      </x:c>
      <x:c r="E28" s="103" t="n">
        <x:f>B28*75%</x:f>
        <x:v>0.03</x:v>
      </x:c>
      <x:c r="F28" s="67" t="str">
        <x:v>낮음</x:v>
      </x:c>
      <x:c r="G28" s="67"/>
      <x:c r="H28" s="67"/>
      <x:c r="I28" s="67"/>
    </x:row>
    <x:row r="29">
      <x:c r="A29" s="67" t="n">
        <x:v>2</x:v>
      </x:c>
      <x:c r="B29" s="103" t="n">
        <x:v>0.08</x:v>
      </x:c>
      <x:c r="C29" s="103" t="n">
        <x:f>B29*25%</x:f>
        <x:v>0.02</x:v>
      </x:c>
      <x:c r="D29" s="103" t="n">
        <x:f>B29*50%</x:f>
        <x:v>0.04</x:v>
      </x:c>
      <x:c r="E29" s="103" t="n">
        <x:f>B29*75%</x:f>
        <x:v>0.06</x:v>
      </x:c>
      <x:c r="F29" s="67" t="str">
        <x:v>보통</x:v>
      </x:c>
      <x:c r="G29" s="67"/>
      <x:c r="H29" s="67"/>
      <x:c r="I29" s="67"/>
    </x:row>
    <x:row r="30">
      <x:c r="A30" s="67" t="n">
        <x:v>3</x:v>
      </x:c>
      <x:c r="B30" s="103" t="n">
        <x:v>0.12</x:v>
      </x:c>
      <x:c r="C30" s="103" t="n">
        <x:f>B30*25%</x:f>
        <x:v>0.03</x:v>
      </x:c>
      <x:c r="D30" s="103" t="n">
        <x:f>B30*50%</x:f>
        <x:v>0.06</x:v>
      </x:c>
      <x:c r="E30" s="103" t="n">
        <x:f>B30*75%</x:f>
        <x:v>0.09</x:v>
      </x:c>
      <x:c r="F30" s="67" t="str">
        <x:v>적절</x:v>
      </x:c>
      <x:c r="G30" s="67"/>
      <x:c r="H30" s="67"/>
      <x:c r="I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</x:row>
    <x:row r="33">
      <x:c r="A33" s="101" t="str">
        <x:v>직접 피해 성장 경계</x:v>
      </x:c>
      <x:c r="B33" s="101"/>
      <x:c r="C33" s="101"/>
      <x:c r="D33" s="101"/>
      <x:c r="E33" s="101"/>
      <x:c r="F33" s="101"/>
      <x:c r="G33" s="67"/>
      <x:c r="H33" s="67"/>
      <x:c r="I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</x:row>
    <x:row r="35">
      <x:c r="A35" s="76" t="str">
        <x:v>시나리오</x:v>
      </x:c>
      <x:c r="B35" s="76" t="str">
        <x:v>공격력 가산</x:v>
      </x:c>
      <x:c r="C35" s="76" t="str">
        <x:v>공격력 배율</x:v>
      </x:c>
      <x:c r="D35" s="76" t="str">
        <x:v>공격 분류 배율</x:v>
      </x:c>
      <x:c r="E35" s="76" t="str">
        <x:v>최종 피해 배율</x:v>
      </x:c>
      <x:c r="F35" s="76" t="str">
        <x:v>100% 계수 1회 피해</x:v>
      </x:c>
      <x:c r="G35" s="67"/>
      <x:c r="H35" s="67"/>
      <x:c r="I35" s="67"/>
    </x:row>
    <x:row r="36">
      <x:c r="A36" s="67" t="str">
        <x:v>기본</x:v>
      </x:c>
      <x:c r="B36" s="67" t="n">
        <x:v>0</x:v>
      </x:c>
      <x:c r="C36" s="82" t="n">
        <x:v>0</x:v>
      </x:c>
      <x:c r="D36" s="82" t="n">
        <x:v>0</x:v>
      </x:c>
      <x:c r="E36" s="82" t="n">
        <x:v>0</x:v>
      </x:c>
      <x:c r="F36" s="67" t="n">
        <x:f>($B$5+B36)*(1+C36)*(1+D36)*(1+E36)</x:f>
        <x:v>10</x:v>
      </x:c>
      <x:c r="G36" s="67"/>
      <x:c r="H36" s="67"/>
      <x:c r="I36" s="67"/>
    </x:row>
    <x:row r="37">
      <x:c r="A37" s="67" t="str">
        <x:v>힘 부적 Lv5</x:v>
      </x:c>
      <x:c r="B37" s="67" t="n">
        <x:v>5</x:v>
      </x:c>
      <x:c r="C37" s="82" t="n">
        <x:v>0</x:v>
      </x:c>
      <x:c r="D37" s="82" t="n">
        <x:v>0</x:v>
      </x:c>
      <x:c r="E37" s="82" t="n">
        <x:v>0</x:v>
      </x:c>
      <x:c r="F37" s="67" t="n">
        <x:f>($B$5+B37)*(1+C37)*(1+D37)*(1+E37)</x:f>
        <x:v>15</x:v>
      </x:c>
      <x:c r="G37" s="67"/>
      <x:c r="H37" s="67"/>
      <x:c r="I37" s="67"/>
    </x:row>
    <x:row r="38">
      <x:c r="A38" s="67" t="str">
        <x:v>평균 기본공격 빌드</x:v>
      </x:c>
      <x:c r="B38" s="67" t="n">
        <x:v>0</x:v>
      </x:c>
      <x:c r="C38" s="82" t="n">
        <x:v>0.1</x:v>
      </x:c>
      <x:c r="D38" s="82" t="n">
        <x:v>0.1</x:v>
      </x:c>
      <x:c r="E38" s="82" t="n">
        <x:v>0</x:v>
      </x:c>
      <x:c r="F38" s="67" t="n">
        <x:f>($B$5+B38)*(1+C38)*(1+D38)*(1+E38)</x:f>
        <x:v>12.100000000000001</x:v>
      </x:c>
      <x:c r="G38" s="67"/>
      <x:c r="H38" s="67"/>
      <x:c r="I38" s="67"/>
    </x:row>
    <x:row r="39">
      <x:c r="A39" s="67" t="str">
        <x:v>강한 기본공격 빌드</x:v>
      </x:c>
      <x:c r="B39" s="67" t="n">
        <x:v>5</x:v>
      </x:c>
      <x:c r="C39" s="82" t="n">
        <x:v>0.16</x:v>
      </x:c>
      <x:c r="D39" s="82" t="n">
        <x:v>0.2</x:v>
      </x:c>
      <x:c r="E39" s="82" t="n">
        <x:v>0.13</x:v>
      </x:c>
      <x:c r="F39" s="67" t="n">
        <x:f>($B$5+B39)*(1+C39)*(1+D39)*(1+E39)</x:f>
        <x:v>23.594399999999997</x:v>
      </x:c>
      <x:c r="G39" s="67"/>
      <x:c r="H39" s="67"/>
      <x:c r="I39" s="67"/>
    </x:row>
    <x:row r="40">
      <x:c r="A40" s="67" t="str">
        <x:v>독한 술기운 Lv3 발동 추가</x:v>
      </x:c>
      <x:c r="B40" s="67" t="n">
        <x:v>5</x:v>
      </x:c>
      <x:c r="C40" s="82" t="n">
        <x:v>0.16</x:v>
      </x:c>
      <x:c r="D40" s="82" t="n">
        <x:v>0.2</x:v>
      </x:c>
      <x:c r="E40" s="82" t="n">
        <x:v>0.25</x:v>
      </x:c>
      <x:c r="F40" s="67" t="n">
        <x:f>($B$5+B40)*(1+C40)*(1+D40)*(1+E40)</x:f>
        <x:v>26.099999999999998</x:v>
      </x:c>
      <x:c r="G40" s="67"/>
      <x:c r="H40" s="67"/>
      <x:c r="I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</x:row>
    <x:row r="43">
      <x:c r="A43" s="101" t="str">
        <x:v>화상 유물 최대 조합 경계</x:v>
      </x:c>
      <x:c r="B43" s="101"/>
      <x:c r="C43" s="101"/>
      <x:c r="D43" s="101"/>
      <x:c r="E43" s="101"/>
      <x:c r="F43" s="101"/>
      <x:c r="G43" s="101"/>
      <x:c r="H43" s="101"/>
      <x:c r="I43" s="101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</x:row>
    <x:row r="45">
      <x:c r="A45" s="76" t="str">
        <x:v>조합</x:v>
      </x:c>
      <x:c r="B45" s="76" t="str">
        <x:v>송곳 기본</x:v>
      </x:c>
      <x:c r="C45" s="76" t="str">
        <x:v>불타는 깃털</x:v>
      </x:c>
      <x:c r="D45" s="76" t="str">
        <x:v>휴대용 화로</x:v>
      </x:c>
      <x:c r="E45" s="76" t="str">
        <x:v>최종 중첩</x:v>
      </x:c>
      <x:c r="F45" s="76" t="str">
        <x:v>틱 피해</x:v>
      </x:c>
      <x:c r="G45" s="76" t="str">
        <x:v>주기</x:v>
      </x:c>
      <x:c r="H45" s="76" t="str">
        <x:v>총 피해</x:v>
      </x:c>
      <x:c r="I45" s="76" t="str">
        <x:v>판정</x:v>
      </x:c>
    </x:row>
    <x:row r="46">
      <x:c r="A46" s="67" t="str">
        <x:v>송곳 Lv5</x:v>
      </x:c>
      <x:c r="B46" s="67" t="n">
        <x:v>6</x:v>
      </x:c>
      <x:c r="C46" s="67" t="n">
        <x:v>0</x:v>
      </x:c>
      <x:c r="D46" s="67" t="n">
        <x:v>0</x:v>
      </x:c>
      <x:c r="E46" s="67" t="n">
        <x:f>B46+C46+D46</x:f>
        <x:v>6</x:v>
      </x:c>
      <x:c r="F46" s="67" t="n">
        <x:v>1</x:v>
      </x:c>
      <x:c r="G46" s="67" t="n">
        <x:v>1</x:v>
      </x:c>
      <x:c r="H46" s="67" t="n">
        <x:f>E46*F46</x:f>
        <x:v>6</x:v>
      </x:c>
      <x:c r="I46" s="67" t="str">
        <x:v>안전</x:v>
      </x:c>
    </x:row>
    <x:row r="47">
      <x:c r="A47" s="67" t="str">
        <x:v>+ 불타는 깃털 Lv3</x:v>
      </x:c>
      <x:c r="B47" s="67" t="n">
        <x:v>6</x:v>
      </x:c>
      <x:c r="C47" s="67" t="n">
        <x:v>3</x:v>
      </x:c>
      <x:c r="D47" s="67" t="n">
        <x:v>0</x:v>
      </x:c>
      <x:c r="E47" s="67" t="n">
        <x:f>B47+C47+D47</x:f>
        <x:v>9</x:v>
      </x:c>
      <x:c r="F47" s="67" t="n">
        <x:v>1</x:v>
      </x:c>
      <x:c r="G47" s="67" t="n">
        <x:v>1</x:v>
      </x:c>
      <x:c r="H47" s="67" t="n">
        <x:f>E47*F47</x:f>
        <x:v>9</x:v>
      </x:c>
      <x:c r="I47" s="67" t="str">
        <x:v>안전</x:v>
      </x:c>
    </x:row>
    <x:row r="48">
      <x:c r="A48" s="67" t="str">
        <x:v>+ 휴대용 화로 Lv5</x:v>
      </x:c>
      <x:c r="B48" s="67" t="n">
        <x:v>6</x:v>
      </x:c>
      <x:c r="C48" s="67" t="n">
        <x:v>3</x:v>
      </x:c>
      <x:c r="D48" s="67" t="n">
        <x:v>5</x:v>
      </x:c>
      <x:c r="E48" s="67" t="n">
        <x:f>B48+C48+D48</x:f>
        <x:v>14</x:v>
      </x:c>
      <x:c r="F48" s="67" t="n">
        <x:v>1</x:v>
      </x:c>
      <x:c r="G48" s="67" t="n">
        <x:v>1</x:v>
      </x:c>
      <x:c r="H48" s="67" t="n">
        <x:f>E48*F48</x:f>
        <x:v>14</x:v>
      </x:c>
      <x:c r="I48" s="67" t="str">
        <x:v>장기 지속</x:v>
      </x:c>
    </x:row>
    <x:row r="49">
      <x:c r="A49" s="67" t="str">
        <x:v>+ 매캐한 향로 Lv5 + 녹아내린 종 Lv5</x:v>
      </x:c>
      <x:c r="B49" s="67" t="n">
        <x:v>6</x:v>
      </x:c>
      <x:c r="C49" s="67" t="n">
        <x:v>3</x:v>
      </x:c>
      <x:c r="D49" s="67" t="n">
        <x:v>5</x:v>
      </x:c>
      <x:c r="E49" s="67" t="n">
        <x:f>B49+C49+D49</x:f>
        <x:v>14</x:v>
      </x:c>
      <x:c r="F49" s="67" t="n">
        <x:v>2</x:v>
      </x:c>
      <x:c r="G49" s="67" t="n">
        <x:v>0.65</x:v>
      </x:c>
      <x:c r="H49" s="67" t="n">
        <x:f>E49*F49</x:f>
        <x:v>28</x:v>
      </x:c>
      <x:c r="I49" s="67" t="str">
        <x:v>강하지만 고투자</x:v>
      </x:c>
    </x:row>
  </x:sheetData>
  <x:mergeCells>
    <x:mergeCell ref="A2:I2"/>
    <x:mergeCell ref="A14:I14"/>
    <x:mergeCell ref="A25:F25"/>
    <x:mergeCell ref="A33:F33"/>
    <x:mergeCell ref="A43:I43"/>
  </x:mergeCells>
  <x:pageMargins left="0.7" right="0.7" top="0.75" bottom="0.75" header="0.3" footer="0.3"/>
</x:worksheet>
</file>