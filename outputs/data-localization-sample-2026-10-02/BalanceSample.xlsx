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bf4dd8e05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적 체력" sheetId="1" r:id="R3fec569bf66b4f1a"/>
    <x:sheet xmlns:r="http://schemas.openxmlformats.org/officeDocument/2006/relationships" name="경험치" sheetId="2" r:id="R413d50cb67a7415b"/>
    <x:sheet xmlns:r="http://schemas.openxmlformats.org/officeDocument/2006/relationships" name="골드" sheetId="3" r:id="Rf2bb122fb136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20354A"/>
      <x:name val="Malgun Gothic"/>
    </x:font>
    <x:font>
      <x:b/>
      <x:sz val="18"/>
      <x:color rgb="FFFFFFFF"/>
      <x:name val="Malgun Gothic"/>
    </x:font>
    <x:font>
      <x:b/>
      <x:sz val="11"/>
      <x:color rgb="FFFFFFFF"/>
      <x:name val="Malgun Gothic"/>
    </x:font>
    <x:font>
      <x:sz val="11"/>
      <x:color rgb="FF1556A6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9364B"/>
      </x:patternFill>
    </x:fill>
    <x:fill>
      <x:patternFill patternType="solid">
        <x:fgColor rgb="FF28566C"/>
      </x:patternFill>
    </x:fill>
    <x:fill>
      <x:patternFill patternType="solid">
        <x:fgColor rgb="FFFFF1D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06529f2964de0" /><Relationship Type="http://schemas.openxmlformats.org/officeDocument/2006/relationships/theme" Target="/xl/theme/theme1.xml" Id="Rdb0da8659bc74946" /><Relationship Type="http://schemas.openxmlformats.org/officeDocument/2006/relationships/sharedStrings" Target="/xl/sharedStrings.xml" Id="R7c169c236efb490f" /><Relationship Type="http://schemas.openxmlformats.org/officeDocument/2006/relationships/worksheet" Target="/xl/worksheets/sheet1.xml" Id="R3fec569bf66b4f1a" /><Relationship Type="http://schemas.openxmlformats.org/officeDocument/2006/relationships/worksheet" Target="/xl/worksheets/sheet2.xml" Id="R413d50cb67a7415b" /><Relationship Type="http://schemas.openxmlformats.org/officeDocument/2006/relationships/worksheet" Target="/xl/worksheets/sheet3.xml" Id="Rf2bb122fb13646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fbc581b2b7411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f9776337aba4f0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d610ff629340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스테이지별 최대 HP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GoblinWarrior</c:v>
          </c:tx>
          <c:spPr>
            <a:ln xmlns:a="http://schemas.openxmlformats.org/drawingml/2006/main" w="19050">
              <a:solidFill>
                <a:srgbClr val="29759B"/>
              </a:solidFill>
              <a:prstDash val="solid"/>
            </a:ln>
          </c:spPr>
          <c:marker>
            <c:symbol val="none"/>
          </c:marker>
          <c:cat>
            <c:strRef>
              <c:f>'적 체력'!$A$5:$A$7</c:f>
              <c:strCache>
                <c:ptCount val="0"/>
              </c:strCache>
            </c:strRef>
          </c:cat>
          <c:val>
            <c:numRef>
              <c:f>'적 체력'!$C$5:$C$7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GoblinGunner</c:v>
          </c:tx>
          <c:spPr>
            <a:ln xmlns:a="http://schemas.openxmlformats.org/drawingml/2006/main" w="19050">
              <a:solidFill>
                <a:srgbClr val="D7813D"/>
              </a:solidFill>
              <a:prstDash val="solid"/>
            </a:ln>
          </c:spPr>
          <c:marker>
            <c:symbol val="none"/>
          </c:marker>
          <c:cat>
            <c:strRef>
              <c:f>'적 체력'!$A$5:$A$7</c:f>
              <c:strCache>
                <c:ptCount val="0"/>
              </c:strCache>
            </c:strRef>
          </c:cat>
          <c:val>
            <c:numRef>
              <c:f>'적 체력'!$D$5:$D$7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ArcaneTankGolem</c:v>
          </c:tx>
          <c:spPr>
            <a:ln xmlns:a="http://schemas.openxmlformats.org/drawingml/2006/main" w="19050">
              <a:solidFill>
                <a:srgbClr val="378266"/>
              </a:solidFill>
              <a:prstDash val="solid"/>
            </a:ln>
          </c:spPr>
          <c:marker>
            <c:symbol val="none"/>
          </c:marker>
          <c:cat>
            <c:strRef>
              <c:f>'적 체력'!$A$5:$A$7</c:f>
              <c:strCache>
                <c:ptCount val="0"/>
              </c:strCache>
            </c:strRef>
          </c:cat>
          <c:val>
            <c:numRef>
              <c:f>'적 체력'!$E$5:$E$7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필요 경험치 / 누적 경험치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필요 EXP</c:v>
          </c:tx>
          <c:spPr>
            <a:ln xmlns:a="http://schemas.openxmlformats.org/drawingml/2006/main" w="19050">
              <a:solidFill>
                <a:srgbClr val="29759B"/>
              </a:solidFill>
              <a:prstDash val="solid"/>
            </a:ln>
          </c:spPr>
          <c:marker>
            <c:symbol val="none"/>
          </c:marker>
          <c:cat>
            <c:strRef>
              <c:f>'경험치'!$A$5:$A$13</c:f>
              <c:strCache>
                <c:ptCount val="0"/>
              </c:strCache>
            </c:strRef>
          </c:cat>
          <c:val>
            <c:numRef>
              <c:f>'경험치'!$B$5:$B$13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누적 EXP</c:v>
          </c:tx>
          <c:spPr>
            <a:ln xmlns:a="http://schemas.openxmlformats.org/drawingml/2006/main" w="19050">
              <a:solidFill>
                <a:srgbClr val="D7813D"/>
              </a:solidFill>
              <a:prstDash val="solid"/>
            </a:ln>
          </c:spPr>
          <c:marker>
            <c:symbol val="none"/>
          </c:marker>
          <c:cat>
            <c:strRef>
              <c:f>'경험치'!$A$5:$A$13</c:f>
              <c:strCache>
                <c:ptCount val="0"/>
              </c:strCache>
            </c:strRef>
          </c:cat>
          <c:val>
            <c:numRef>
              <c:f>'경험치'!$C$5:$C$13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방 보상과 일반 유물 구매선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누적 골드</c:v>
          </c:tx>
          <c:spPr>
            <a:ln xmlns:a="http://schemas.openxmlformats.org/drawingml/2006/main" w="19050">
              <a:solidFill>
                <a:srgbClr val="29759B"/>
              </a:solidFill>
              <a:prstDash val="solid"/>
            </a:ln>
          </c:spPr>
          <c:marker>
            <c:symbol val="none"/>
          </c:marker>
          <c:cat>
            <c:strRef>
              <c:f>'골드'!$H$5:$H$14</c:f>
              <c:strCache>
                <c:ptCount val="0"/>
              </c:strCache>
            </c:strRef>
          </c:cat>
          <c:val>
            <c:numRef>
              <c:f>'골드'!$I$5:$I$14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일반 유물 최소</c:v>
          </c:tx>
          <c:spPr>
            <a:ln xmlns:a="http://schemas.openxmlformats.org/drawingml/2006/main" w="19050">
              <a:solidFill>
                <a:srgbClr val="D7813D"/>
              </a:solidFill>
              <a:prstDash val="solid"/>
            </a:ln>
          </c:spPr>
          <c:marker>
            <c:symbol val="none"/>
          </c:marker>
          <c:cat>
            <c:strRef>
              <c:f>'골드'!$H$5:$H$14</c:f>
              <c:strCache>
                <c:ptCount val="0"/>
              </c:strCache>
            </c:strRef>
          </c:cat>
          <c:val>
            <c:numRef>
              <c:f>'골드'!$J$5:$J$14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일반 유물 최대</c:v>
          </c:tx>
          <c:spPr>
            <a:ln xmlns:a="http://schemas.openxmlformats.org/drawingml/2006/main" w="19050">
              <a:solidFill>
                <a:srgbClr val="378266"/>
              </a:solidFill>
              <a:prstDash val="solid"/>
            </a:ln>
          </c:spPr>
          <c:marker>
            <c:symbol val="none"/>
          </c:marker>
          <c:cat>
            <c:strRef>
              <c:f>'골드'!$H$5:$H$14</c:f>
              <c:strCache>
                <c:ptCount val="0"/>
              </c:strCache>
            </c:strRef>
          </c:cat>
          <c:val>
            <c:numRef>
              <c:f>'골드'!$K$5:$K$14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fbc581b2b7411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9776337aba4f0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16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d610ff6293409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fffd899cea4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95e58afaa00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8c3261c36234b3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40" customHeight="1">
      <x:c r="A1" s="3" t="str">
        <x:v>스테이지별 적 체력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45" customHeight="1">
      <x:c r="A2" s="4" t="str">
        <x:v>노란 칸: 편집 입력 · 계산은 현재 규칙 재현 · 엘리트/난이도 등 별도 배율 제외</x:v>
      </x:c>
      <x:c r="B2" s="4"/>
      <x:c r="C2" s="4"/>
      <x:c r="D2" s="4"/>
      <x:c r="E2" s="4"/>
      <x:c r="F2" s="4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40" customHeight="1">
      <x:c r="A4" s="7" t="str">
        <x:v>스테이지</x:v>
      </x:c>
      <x:c r="B4" s="7" t="str">
        <x:v>체력 배율</x:v>
      </x:c>
      <x:c r="C4" s="7" t="str">
        <x:v>GoblinWarrior</x:v>
      </x:c>
      <x:c r="D4" s="7" t="str">
        <x:v>GoblinGunner</x:v>
      </x:c>
      <x:c r="E4" s="7" t="str">
        <x:v>ArcaneTankGolem</x:v>
      </x:c>
      <x:c r="F4" s="7" t="str">
        <x:v>추가 배율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1" t="str">
        <x:v>Stage 1</x:v>
      </x:c>
      <x:c r="B5" s="10" t="n">
        <x:f>IF($B$10=1,(1+$B$11*0)*F5,1)</x:f>
        <x:v>1</x:v>
      </x:c>
      <x:c r="C5" s="10" t="n">
        <x:f>$C$11*$B5</x:f>
        <x:v>45</x:v>
      </x:c>
      <x:c r="D5" s="10" t="n">
        <x:f>$D$11*$B5</x:f>
        <x:v>25</x:v>
      </x:c>
      <x:c r="E5" s="10" t="n">
        <x:f>$E$11*$B5</x:f>
        <x:v>180</x:v>
      </x:c>
      <x:c r="F5" s="9" t="n">
        <x:v>1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5" customHeight="1">
      <x:c r="A6" s="1" t="str">
        <x:v>Stage 2</x:v>
      </x:c>
      <x:c r="B6" s="10" t="n">
        <x:f>IF($B$10=1,(1+$B$11*1)*F6,1)</x:f>
        <x:v>1.55</x:v>
      </x:c>
      <x:c r="C6" s="10" t="n">
        <x:f>$C$11*$B6</x:f>
        <x:v>69.75</x:v>
      </x:c>
      <x:c r="D6" s="10" t="n">
        <x:f>$D$11*$B6</x:f>
        <x:v>38.75</x:v>
      </x:c>
      <x:c r="E6" s="10" t="n">
        <x:f>$E$11*$B6</x:f>
        <x:v>279</x:v>
      </x:c>
      <x:c r="F6" s="9" t="n">
        <x:v>1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5" customHeight="1">
      <x:c r="A7" s="1" t="str">
        <x:v>Stage 3</x:v>
      </x:c>
      <x:c r="B7" s="10" t="n">
        <x:f>IF($B$10=1,(1+$B$11*2)*F7,1)</x:f>
        <x:v>4.2</x:v>
      </x:c>
      <x:c r="C7" s="10" t="n">
        <x:f>$C$11*$B7</x:f>
        <x:v>189</x:v>
      </x:c>
      <x:c r="D7" s="10" t="n">
        <x:f>$D$11*$B7</x:f>
        <x:v>105</x:v>
      </x:c>
      <x:c r="E7" s="10" t="n">
        <x:f>$E$11*$B7</x:f>
        <x:v>756</x:v>
      </x:c>
      <x:c r="F7" s="9" t="n">
        <x:v>2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42" customHeight="1">
      <x:c r="A10" s="4" t="str">
        <x:v>스케일링 활성 (1/0)</x:v>
      </x:c>
      <x:c r="B10" s="9" t="n">
        <x:v>1</x:v>
      </x:c>
      <x:c r="C10" s="7" t="str">
        <x:v>GoblinWarrior</x:v>
      </x:c>
      <x:c r="D10" s="7" t="str">
        <x:v>GoblinGunner</x:v>
      </x:c>
      <x:c r="E10" s="7" t="str">
        <x:v>ArcaneTankGolem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42" customHeight="1">
      <x:c r="A11" s="4" t="str">
        <x:v>단계당 배율 가산</x:v>
      </x:c>
      <x:c r="B11" s="9" t="n">
        <x:v>0.55</x:v>
      </x:c>
      <x:c r="C11" s="9" t="n">
        <x:v>45</x:v>
      </x:c>
      <x:c r="D11" s="9" t="n">
        <x:v>25</x:v>
      </x:c>
      <x:c r="E11" s="9" t="n">
        <x:v>180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42" customHeight="1">
      <x:c r="A12" s="4" t="str">
        <x:v>기준: stageIndex=0부터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45" customHeight="1">
      <x:c r="A14" s="4" t="str">
        <x:v>3스테이지에서만 추가 2배. 설정을 끄면 추가 배율도 적용되지 않음.</x:v>
      </x:c>
      <x:c r="B14" s="4"/>
      <x:c r="C14" s="4"/>
      <x:c r="D14" s="4"/>
      <x:c r="E14" s="4"/>
      <x:c r="F14" s="4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5" customHeight="1">
      <x:c r="A16" s="4" t="str">
        <x:v>출처: MonsterStageHpScalingSettings.asset / .cs, Mobs/*AttributeOverrideInitProfile.asset. 기본 최대 HP × 스테이지 배율 비교 견본.</x:v>
      </x:c>
      <x:c r="B16" s="4"/>
      <x:c r="C16" s="4"/>
      <x:c r="D16" s="4"/>
      <x:c r="E16" s="4"/>
      <x:c r="F16" s="4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4"/>
      <x:c r="B17" s="4"/>
      <x:c r="C17" s="4"/>
      <x:c r="D17" s="4"/>
      <x:c r="E17" s="4"/>
      <x:c r="F17" s="4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</x:sheetData>
  <x:mergeCells>
    <x:mergeCell ref="A1:F1"/>
    <x:mergeCell ref="A2:F2"/>
    <x:mergeCell ref="A14:F14"/>
    <x:mergeCell ref="A16:F17"/>
  </x:mergeCells>
  <x:pageMargins left="0.7" right="0.7" top="0.75" bottom="0.75" header="0.3" footer="0.3"/>
  <x:drawing xmlns:r="http://schemas.openxmlformats.org/officeDocument/2006/relationships" r:id="R50fffd899cea4d1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40" customHeight="1">
      <x:c r="A1" s="3" t="str">
        <x:v>레벨별 경험치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45" customHeight="1">
      <x:c r="A2" s="4" t="str">
        <x:v>현재 요구 경험치와 누적량 · 몬스터 처치 수는 선택한 기본 EXP로 단순 비교</x:v>
      </x:c>
      <x:c r="B2" s="4"/>
      <x:c r="C2" s="4"/>
      <x:c r="D2" s="4"/>
      <x:c r="E2" s="4"/>
      <x:c r="F2" s="4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40" customHeight="1">
      <x:c r="A4" s="7" t="str">
        <x:v>레벨 전환</x:v>
      </x:c>
      <x:c r="B4" s="7" t="str">
        <x:v>필요 EXP</x:v>
      </x:c>
      <x:c r="C4" s="7" t="str">
        <x:v>누적 EXP</x:v>
      </x:c>
      <x:c r="D4" s="7" t="str">
        <x:v>필요 처치 수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1" t="str">
        <x:v>1 → 2</x:v>
      </x:c>
      <x:c r="B5" s="9" t="n">
        <x:v>100</x:v>
      </x:c>
      <x:c r="C5" s="1" t="n">
        <x:f>SUM($B$5:B5)</x:f>
        <x:v>100</x:v>
      </x:c>
      <x:c r="D5" s="1" t="n">
        <x:f>ROUNDUP(B5/$B$16,0)</x:f>
        <x:v>10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5" customHeight="1">
      <x:c r="A6" s="1" t="str">
        <x:v>2 → 3</x:v>
      </x:c>
      <x:c r="B6" s="9" t="n">
        <x:v>130</x:v>
      </x:c>
      <x:c r="C6" s="1" t="n">
        <x:f>SUM($B$5:B6)</x:f>
        <x:v>230</x:v>
      </x:c>
      <x:c r="D6" s="1" t="n">
        <x:f>ROUNDUP(B6/$B$16,0)</x:f>
        <x:v>13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5" customHeight="1">
      <x:c r="A7" s="1" t="str">
        <x:v>3 → 4</x:v>
      </x:c>
      <x:c r="B7" s="9" t="n">
        <x:v>160</x:v>
      </x:c>
      <x:c r="C7" s="1" t="n">
        <x:f>SUM($B$5:B7)</x:f>
        <x:v>390</x:v>
      </x:c>
      <x:c r="D7" s="1" t="n">
        <x:f>ROUNDUP(B7/$B$16,0)</x:f>
        <x:v>16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5" customHeight="1">
      <x:c r="A8" s="1" t="str">
        <x:v>4 → 5</x:v>
      </x:c>
      <x:c r="B8" s="9" t="n">
        <x:v>200</x:v>
      </x:c>
      <x:c r="C8" s="1" t="n">
        <x:f>SUM($B$5:B8)</x:f>
        <x:v>590</x:v>
      </x:c>
      <x:c r="D8" s="1" t="n">
        <x:f>ROUNDUP(B8/$B$16,0)</x:f>
        <x:v>20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5" customHeight="1">
      <x:c r="A9" s="1" t="str">
        <x:v>5 → 6</x:v>
      </x:c>
      <x:c r="B9" s="9" t="n">
        <x:v>250</x:v>
      </x:c>
      <x:c r="C9" s="1" t="n">
        <x:f>SUM($B$5:B9)</x:f>
        <x:v>840</x:v>
      </x:c>
      <x:c r="D9" s="1" t="n">
        <x:f>ROUNDUP(B9/$B$16,0)</x:f>
        <x:v>25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5" customHeight="1">
      <x:c r="A10" s="1" t="str">
        <x:v>6 → 7</x:v>
      </x:c>
      <x:c r="B10" s="9" t="n">
        <x:v>310</x:v>
      </x:c>
      <x:c r="C10" s="1" t="n">
        <x:f>SUM($B$5:B10)</x:f>
        <x:v>1150</x:v>
      </x:c>
      <x:c r="D10" s="1" t="n">
        <x:f>ROUNDUP(B10/$B$16,0)</x:f>
        <x:v>31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5" customHeight="1">
      <x:c r="A11" s="1" t="str">
        <x:v>7 → 8</x:v>
      </x:c>
      <x:c r="B11" s="9" t="n">
        <x:v>380</x:v>
      </x:c>
      <x:c r="C11" s="1" t="n">
        <x:f>SUM($B$5:B11)</x:f>
        <x:v>1530</x:v>
      </x:c>
      <x:c r="D11" s="1" t="n">
        <x:f>ROUNDUP(B11/$B$16,0)</x:f>
        <x:v>38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5" customHeight="1">
      <x:c r="A12" s="1" t="str">
        <x:v>8 → 9</x:v>
      </x:c>
      <x:c r="B12" s="9" t="n">
        <x:v>460</x:v>
      </x:c>
      <x:c r="C12" s="1" t="n">
        <x:f>SUM($B$5:B12)</x:f>
        <x:v>1990</x:v>
      </x:c>
      <x:c r="D12" s="1" t="n">
        <x:f>ROUNDUP(B12/$B$16,0)</x:f>
        <x:v>46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5" customHeight="1">
      <x:c r="A13" s="1" t="str">
        <x:v>9 → 10</x:v>
      </x:c>
      <x:c r="B13" s="9" t="n">
        <x:v>550</x:v>
      </x:c>
      <x:c r="C13" s="1" t="n">
        <x:f>SUM($B$5:B13)</x:f>
        <x:v>2540</x:v>
      </x:c>
      <x:c r="D13" s="1" t="n">
        <x:f>ROUNDUP(B13/$B$16,0)</x:f>
        <x:v>55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5" customHeight="1">
      <x:c r="A16" s="1" t="str">
        <x:v>비교용 1마리 EXP</x:v>
      </x:c>
      <x:c r="B16" s="9" t="n">
        <x:v>10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40" customHeight="1">
      <x:c r="A18" s="7" t="str">
        <x:v>몬스터</x:v>
      </x:c>
      <x:c r="B18" s="7" t="str">
        <x:v>기본 EXP</x:v>
      </x:c>
      <x:c r="C18" s="7" t="str">
        <x:v>기본 배율</x:v>
      </x:c>
      <x:c r="D18" s="7" t="str">
        <x:v>비고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5" customHeight="1">
      <x:c r="A19" s="1" t="str">
        <x:v>GoblinWarrior</x:v>
      </x:c>
      <x:c r="B19" s="1" t="n">
        <x:v>10</x:v>
      </x:c>
      <x:c r="C19" s="1" t="n">
        <x:v>1</x:v>
      </x:c>
      <x:c r="D19" s="1" t="str">
        <x:v>보너스 제외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5" customHeight="1">
      <x:c r="A20" s="1" t="str">
        <x:v>GoblinGunner</x:v>
      </x:c>
      <x:c r="B20" s="1" t="n">
        <x:v>10</x:v>
      </x:c>
      <x:c r="C20" s="1" t="n">
        <x:v>1</x:v>
      </x:c>
      <x:c r="D20" s="1" t="str">
        <x:v>보너스 제외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5" customHeight="1">
      <x:c r="A21" s="1" t="str">
        <x:v>ArcaneTankGolem</x:v>
      </x:c>
      <x:c r="B21" s="1" t="n">
        <x:v>15</x:v>
      </x:c>
      <x:c r="C21" s="1" t="n">
        <x:v>1</x:v>
      </x:c>
      <x:c r="D21" s="1" t="str">
        <x:v>보너스 제외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5" customHeight="1">
      <x:c r="A23" s="4" t="str">
        <x:v>출처: LevelProgressionConfig.asset, CommonCorridor 몬스터 프리팹의 baseExperience. 최대 레벨 10; 처치 수는 각 구간 시작 EXP=0 가정.</x:v>
      </x:c>
      <x:c r="B23" s="4"/>
      <x:c r="C23" s="4"/>
      <x:c r="D23" s="4"/>
      <x:c r="E23" s="4"/>
      <x:c r="F23" s="4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5" customHeight="1">
      <x:c r="A24" s="4"/>
      <x:c r="B24" s="4"/>
      <x:c r="C24" s="4"/>
      <x:c r="D24" s="4"/>
      <x:c r="E24" s="4"/>
      <x:c r="F24" s="4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</x:sheetData>
  <x:mergeCells>
    <x:mergeCell ref="A1:F1"/>
    <x:mergeCell ref="A2:F2"/>
    <x:mergeCell ref="A23:F24"/>
  </x:mergeCells>
  <x:pageMargins left="0.7" right="0.7" top="0.75" bottom="0.75" header="0.3" footer="0.3"/>
  <x:drawing xmlns:r="http://schemas.openxmlformats.org/officeDocument/2006/relationships" r:id="R495e58afaa004c7d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40" customHeight="1">
      <x:c r="A1" s="3" t="str">
        <x:v>전투방 골드와 상점 가격</x:v>
      </x:c>
      <x:c r="B1" s="3"/>
      <x:c r="C1" s="3"/>
      <x:c r="D1" s="3"/>
      <x:c r="E1" s="3"/>
      <x:c r="F1" s="3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45" customHeight="1">
      <x:c r="A2" s="4" t="str">
        <x:v>방당 보상 예산 기준 · 방 개수는 비교용 가정 · 스테이지별 보상 배율을 임의로 추가하지 않음</x:v>
      </x:c>
      <x:c r="B2" s="4"/>
      <x:c r="C2" s="4"/>
      <x:c r="D2" s="4"/>
      <x:c r="E2" s="4"/>
      <x:c r="F2" s="4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40" customHeight="1">
      <x:c r="A4" s="7" t="str">
        <x:v>방 종류</x:v>
      </x:c>
      <x:c r="B4" s="7" t="str">
        <x:v>골드 예산</x:v>
      </x:c>
      <x:c r="C4" s="7" t="str">
        <x:v>가정 방 수</x:v>
      </x:c>
      <x:c r="D4" s="7" t="str">
        <x:v>예상 수입</x:v>
      </x:c>
      <x:c r="E4" s="1"/>
      <x:c r="F4" s="1"/>
      <x:c r="G4" s="1"/>
      <x:c r="H4" s="7" t="str">
        <x:v>일반방 수</x:v>
      </x:c>
      <x:c r="I4" s="7" t="str">
        <x:v>누적 골드</x:v>
      </x:c>
      <x:c r="J4" s="7" t="str">
        <x:v>일반 유물 최소</x:v>
      </x:c>
      <x:c r="K4" s="7" t="str">
        <x:v>일반 유물 최대</x:v>
      </x:c>
      <x:c r="L4" s="1"/>
      <x:c r="M4" s="1"/>
      <x:c r="N4" s="1"/>
      <x:c r="O4" s="1"/>
      <x:c r="P4" s="1"/>
    </x:row>
    <x:row r="5" ht="25" customHeight="1">
      <x:c r="A5" s="1" t="str">
        <x:v>일반 전투방</x:v>
      </x:c>
      <x:c r="B5" s="9" t="n">
        <x:v>120</x:v>
      </x:c>
      <x:c r="C5" s="9" t="n">
        <x:v>3</x:v>
      </x:c>
      <x:c r="D5" s="1" t="n">
        <x:f>B5*C5</x:f>
        <x:v>360</x:v>
      </x:c>
      <x:c r="E5" s="1"/>
      <x:c r="F5" s="1"/>
      <x:c r="G5" s="1"/>
      <x:c r="H5" s="1" t="n">
        <x:v>1</x:v>
      </x:c>
      <x:c r="I5" s="1" t="n">
        <x:f>H5*$B$5</x:f>
        <x:v>120</x:v>
      </x:c>
      <x:c r="J5" s="1" t="n">
        <x:f>$B$13</x:f>
        <x:v>400</x:v>
      </x:c>
      <x:c r="K5" s="1" t="n">
        <x:f>$C$13</x:f>
        <x:v>500</x:v>
      </x:c>
      <x:c r="L5" s="1"/>
      <x:c r="M5" s="1"/>
      <x:c r="N5" s="1"/>
      <x:c r="O5" s="1"/>
      <x:c r="P5" s="1"/>
    </x:row>
    <x:row r="6" ht="25" customHeight="1">
      <x:c r="A6" s="1" t="str">
        <x:v>대형 전투방</x:v>
      </x:c>
      <x:c r="B6" s="9" t="n">
        <x:v>180</x:v>
      </x:c>
      <x:c r="C6" s="9" t="n">
        <x:v>1</x:v>
      </x:c>
      <x:c r="D6" s="1" t="n">
        <x:f>B6*C6</x:f>
        <x:v>180</x:v>
      </x:c>
      <x:c r="E6" s="1"/>
      <x:c r="F6" s="1"/>
      <x:c r="G6" s="1"/>
      <x:c r="H6" s="1" t="n">
        <x:v>2</x:v>
      </x:c>
      <x:c r="I6" s="1" t="n">
        <x:f>H6*$B$5</x:f>
        <x:v>240</x:v>
      </x:c>
      <x:c r="J6" s="1" t="n">
        <x:f>$B$13</x:f>
        <x:v>400</x:v>
      </x:c>
      <x:c r="K6" s="1" t="n">
        <x:f>$C$13</x:f>
        <x:v>500</x:v>
      </x:c>
      <x:c r="L6" s="1"/>
      <x:c r="M6" s="1"/>
      <x:c r="N6" s="1"/>
      <x:c r="O6" s="1"/>
      <x:c r="P6" s="1"/>
    </x:row>
    <x:row r="7" ht="25" customHeight="1">
      <x:c r="A7" s="1"/>
      <x:c r="B7" s="1"/>
      <x:c r="C7" s="1"/>
      <x:c r="D7" s="1"/>
      <x:c r="E7" s="1"/>
      <x:c r="F7" s="1"/>
      <x:c r="G7" s="1"/>
      <x:c r="H7" s="1" t="n">
        <x:v>3</x:v>
      </x:c>
      <x:c r="I7" s="1" t="n">
        <x:f>H7*$B$5</x:f>
        <x:v>360</x:v>
      </x:c>
      <x:c r="J7" s="1" t="n">
        <x:f>$B$13</x:f>
        <x:v>400</x:v>
      </x:c>
      <x:c r="K7" s="1" t="n">
        <x:f>$C$13</x:f>
        <x:v>500</x:v>
      </x:c>
      <x:c r="L7" s="1"/>
      <x:c r="M7" s="1"/>
      <x:c r="N7" s="1"/>
      <x:c r="O7" s="1"/>
      <x:c r="P7" s="1"/>
    </x:row>
    <x:row r="8" ht="25" customHeight="1">
      <x:c r="A8" s="1" t="str">
        <x:v>합계 골드</x:v>
      </x:c>
      <x:c r="B8" s="1"/>
      <x:c r="C8" s="1"/>
      <x:c r="D8" s="1" t="n">
        <x:f>SUM(D5:D6)</x:f>
        <x:v>540</x:v>
      </x:c>
      <x:c r="E8" s="1"/>
      <x:c r="F8" s="1"/>
      <x:c r="G8" s="1"/>
      <x:c r="H8" s="1" t="n">
        <x:v>4</x:v>
      </x:c>
      <x:c r="I8" s="1" t="n">
        <x:f>H8*$B$5</x:f>
        <x:v>480</x:v>
      </x:c>
      <x:c r="J8" s="1" t="n">
        <x:f>$B$13</x:f>
        <x:v>400</x:v>
      </x:c>
      <x:c r="K8" s="1" t="n">
        <x:f>$C$13</x:f>
        <x:v>500</x:v>
      </x:c>
      <x:c r="L8" s="1"/>
      <x:c r="M8" s="1"/>
      <x:c r="N8" s="1"/>
      <x:c r="O8" s="1"/>
      <x:c r="P8" s="1"/>
    </x:row>
    <x:row r="9" ht="25" customHeight="1">
      <x:c r="A9" s="1"/>
      <x:c r="B9" s="1"/>
      <x:c r="C9" s="1"/>
      <x:c r="D9" s="1"/>
      <x:c r="E9" s="1"/>
      <x:c r="F9" s="1"/>
      <x:c r="G9" s="1"/>
      <x:c r="H9" s="1" t="n">
        <x:v>5</x:v>
      </x:c>
      <x:c r="I9" s="1" t="n">
        <x:f>H9*$B$5</x:f>
        <x:v>600</x:v>
      </x:c>
      <x:c r="J9" s="1" t="n">
        <x:f>$B$13</x:f>
        <x:v>400</x:v>
      </x:c>
      <x:c r="K9" s="1" t="n">
        <x:f>$C$13</x:f>
        <x:v>500</x:v>
      </x:c>
      <x:c r="L9" s="1"/>
      <x:c r="M9" s="1"/>
      <x:c r="N9" s="1"/>
      <x:c r="O9" s="1"/>
      <x:c r="P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 t="n">
        <x:v>6</x:v>
      </x:c>
      <x:c r="I10" s="1" t="n">
        <x:f>H10*$B$5</x:f>
        <x:v>720</x:v>
      </x:c>
      <x:c r="J10" s="1" t="n">
        <x:f>$B$13</x:f>
        <x:v>400</x:v>
      </x:c>
      <x:c r="K10" s="1" t="n">
        <x:f>$C$13</x:f>
        <x:v>500</x:v>
      </x:c>
      <x:c r="L10" s="1"/>
      <x:c r="M10" s="1"/>
      <x:c r="N10" s="1"/>
      <x:c r="O10" s="1"/>
      <x:c r="P10" s="1"/>
    </x:row>
    <x:row r="11" ht="40" customHeight="1">
      <x:c r="A11" s="7" t="str">
        <x:v>상품</x:v>
      </x:c>
      <x:c r="B11" s="7" t="str">
        <x:v>최소 가격</x:v>
      </x:c>
      <x:c r="C11" s="7" t="str">
        <x:v>최대 가격</x:v>
      </x:c>
      <x:c r="D11" s="7" t="str">
        <x:v>일반방 최소 수</x:v>
      </x:c>
      <x:c r="E11" s="7" t="str">
        <x:v>일반방 최대 수</x:v>
      </x:c>
      <x:c r="F11" s="1"/>
      <x:c r="G11" s="1"/>
      <x:c r="H11" s="1" t="n">
        <x:v>7</x:v>
      </x:c>
      <x:c r="I11" s="1" t="n">
        <x:f>H11*$B$5</x:f>
        <x:v>840</x:v>
      </x:c>
      <x:c r="J11" s="1" t="n">
        <x:f>$B$13</x:f>
        <x:v>400</x:v>
      </x:c>
      <x:c r="K11" s="1" t="n">
        <x:f>$C$13</x:f>
        <x:v>500</x:v>
      </x:c>
      <x:c r="L11" s="1"/>
      <x:c r="M11" s="1"/>
      <x:c r="N11" s="1"/>
      <x:c r="O11" s="1"/>
      <x:c r="P11" s="1"/>
    </x:row>
    <x:row r="12" ht="25" customHeight="1">
      <x:c r="A12" s="1" t="str">
        <x:v>무기</x:v>
      </x:c>
      <x:c r="B12" s="9" t="n">
        <x:v>1150</x:v>
      </x:c>
      <x:c r="C12" s="9" t="n">
        <x:v>1250</x:v>
      </x:c>
      <x:c r="D12" s="1" t="n">
        <x:f>ROUNDUP(B12/$B$5,0)</x:f>
        <x:v>10</x:v>
      </x:c>
      <x:c r="E12" s="1" t="n">
        <x:f>ROUNDUP(C12/$B$5,0)</x:f>
        <x:v>11</x:v>
      </x:c>
      <x:c r="F12" s="1"/>
      <x:c r="G12" s="1"/>
      <x:c r="H12" s="1" t="n">
        <x:v>8</x:v>
      </x:c>
      <x:c r="I12" s="1" t="n">
        <x:f>H12*$B$5</x:f>
        <x:v>960</x:v>
      </x:c>
      <x:c r="J12" s="1" t="n">
        <x:f>$B$13</x:f>
        <x:v>400</x:v>
      </x:c>
      <x:c r="K12" s="1" t="n">
        <x:f>$C$13</x:f>
        <x:v>500</x:v>
      </x:c>
      <x:c r="L12" s="1"/>
      <x:c r="M12" s="1"/>
      <x:c r="N12" s="1"/>
      <x:c r="O12" s="1"/>
      <x:c r="P12" s="1"/>
    </x:row>
    <x:row r="13" ht="25" customHeight="1">
      <x:c r="A13" s="1" t="str">
        <x:v>일반 유물</x:v>
      </x:c>
      <x:c r="B13" s="9" t="n">
        <x:v>400</x:v>
      </x:c>
      <x:c r="C13" s="9" t="n">
        <x:v>500</x:v>
      </x:c>
      <x:c r="D13" s="1" t="n">
        <x:f>ROUNDUP(B13/$B$5,0)</x:f>
        <x:v>4</x:v>
      </x:c>
      <x:c r="E13" s="1" t="n">
        <x:f>ROUNDUP(C13/$B$5,0)</x:f>
        <x:v>5</x:v>
      </x:c>
      <x:c r="F13" s="1"/>
      <x:c r="G13" s="1"/>
      <x:c r="H13" s="1" t="n">
        <x:v>9</x:v>
      </x:c>
      <x:c r="I13" s="1" t="n">
        <x:f>H13*$B$5</x:f>
        <x:v>1080</x:v>
      </x:c>
      <x:c r="J13" s="1" t="n">
        <x:f>$B$13</x:f>
        <x:v>400</x:v>
      </x:c>
      <x:c r="K13" s="1" t="n">
        <x:f>$C$13</x:f>
        <x:v>500</x:v>
      </x:c>
      <x:c r="L13" s="1"/>
      <x:c r="M13" s="1"/>
      <x:c r="N13" s="1"/>
      <x:c r="O13" s="1"/>
      <x:c r="P13" s="1"/>
    </x:row>
    <x:row r="14" ht="25" customHeight="1">
      <x:c r="A14" s="1" t="str">
        <x:v>희귀 유물</x:v>
      </x:c>
      <x:c r="B14" s="9" t="n">
        <x:v>600</x:v>
      </x:c>
      <x:c r="C14" s="9" t="n">
        <x:v>700</x:v>
      </x:c>
      <x:c r="D14" s="1" t="n">
        <x:f>ROUNDUP(B14/$B$5,0)</x:f>
        <x:v>5</x:v>
      </x:c>
      <x:c r="E14" s="1" t="n">
        <x:f>ROUNDUP(C14/$B$5,0)</x:f>
        <x:v>6</x:v>
      </x:c>
      <x:c r="F14" s="1"/>
      <x:c r="G14" s="1"/>
      <x:c r="H14" s="1" t="n">
        <x:v>10</x:v>
      </x:c>
      <x:c r="I14" s="1" t="n">
        <x:f>H14*$B$5</x:f>
        <x:v>1200</x:v>
      </x:c>
      <x:c r="J14" s="1" t="n">
        <x:f>$B$13</x:f>
        <x:v>400</x:v>
      </x:c>
      <x:c r="K14" s="1" t="n">
        <x:f>$C$13</x:f>
        <x:v>500</x:v>
      </x:c>
      <x:c r="L14" s="1"/>
      <x:c r="M14" s="1"/>
      <x:c r="N14" s="1"/>
      <x:c r="O14" s="1"/>
      <x:c r="P14" s="1"/>
    </x:row>
    <x:row r="15" ht="25" customHeight="1">
      <x:c r="A15" s="1" t="str">
        <x:v>영웅 유물</x:v>
      </x:c>
      <x:c r="B15" s="9" t="n">
        <x:v>900</x:v>
      </x:c>
      <x:c r="C15" s="9" t="n">
        <x:v>1000</x:v>
      </x:c>
      <x:c r="D15" s="1" t="n">
        <x:f>ROUNDUP(B15/$B$5,0)</x:f>
        <x:v>8</x:v>
      </x:c>
      <x:c r="E15" s="1" t="n">
        <x:f>ROUNDUP(C15/$B$5,0)</x:f>
        <x:v>9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5" customHeight="1">
      <x:c r="A16" s="1" t="str">
        <x:v>소모품</x:v>
      </x:c>
      <x:c r="B16" s="9" t="n">
        <x:v>850</x:v>
      </x:c>
      <x:c r="C16" s="9" t="n">
        <x:v>950</x:v>
      </x:c>
      <x:c r="D16" s="1" t="n">
        <x:f>ROUNDUP(B16/$B$5,0)</x:f>
        <x:v>8</x:v>
      </x:c>
      <x:c r="E16" s="1" t="n">
        <x:f>ROUNDUP(C16/$B$5,0)</x:f>
        <x:v>8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5" customHeight="1">
      <x:c r="A19" s="4" t="str">
        <x:v>출처: MonsterSpawnRoomGroup.cs (일반 120 / 대형 180), ShopDefinitionSO.RollGoldPrice (런 골드 상점, 10 단위 반올림). 방 예산은 기본 EXP 가중치로 몬스터에게 분배됨. 개별 몬스터의 고정 드롭량으로 해석하지 않음.</x:v>
      </x:c>
      <x:c r="B19" s="4"/>
      <x:c r="C19" s="4"/>
      <x:c r="D19" s="4"/>
      <x:c r="E19" s="4"/>
      <x:c r="F19" s="4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5" customHeight="1">
      <x:c r="A20" s="4"/>
      <x:c r="B20" s="4"/>
      <x:c r="C20" s="4"/>
      <x:c r="D20" s="4"/>
      <x:c r="E20" s="4"/>
      <x:c r="F20" s="4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5" customHeight="1">
      <x:c r="A21" s="4"/>
      <x:c r="B21" s="4"/>
      <x:c r="C21" s="4"/>
      <x:c r="D21" s="4"/>
      <x:c r="E21" s="4"/>
      <x:c r="F21" s="4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5" customHeight="1">
      <x:c r="A22" s="4"/>
      <x:c r="B22" s="4"/>
      <x:c r="C22" s="4"/>
      <x:c r="D22" s="4"/>
      <x:c r="E22" s="4"/>
      <x:c r="F22" s="4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</x:sheetData>
  <x:mergeCells>
    <x:mergeCell ref="A1:F1"/>
    <x:mergeCell ref="A2:F2"/>
    <x:mergeCell ref="A19:F22"/>
  </x:mergeCells>
  <x:pageMargins left="0.7" right="0.7" top="0.75" bottom="0.75" header="0.3" footer="0.3"/>
  <x:drawing xmlns:r="http://schemas.openxmlformats.org/officeDocument/2006/relationships" r:id="R48c3261c36234b30"/>
</x:worksheet>
</file>