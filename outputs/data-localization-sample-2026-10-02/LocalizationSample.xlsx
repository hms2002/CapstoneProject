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329c5f2c83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번역 미리보기" sheetId="1" r:id="R3e513b7629634d2a"/>
    <x:sheet xmlns:r="http://schemas.openxmlformats.org/officeDocument/2006/relationships" name="번역 원문" sheetId="2" r:id="R8c5fd3e043db49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354A"/>
      <x:name val="Malgun Gothic"/>
    </x:font>
    <x:font>
      <x:b/>
      <x:sz val="18"/>
      <x:color rgb="FFFFFFFF"/>
      <x:name val="Malgun Gothic"/>
    </x:font>
    <x:font>
      <x:b/>
      <x:sz val="11"/>
      <x:color rgb="FFFFFFFF"/>
      <x:name val="Malgun Gothic"/>
    </x:font>
    <x:font>
      <x:sz val="11"/>
      <x:color rgb="FF1556A6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19364B"/>
      </x:patternFill>
    </x:fill>
    <x:fill>
      <x:patternFill patternType="solid">
        <x:fgColor rgb="FF28566C"/>
      </x:patternFill>
    </x:fill>
    <x:fill>
      <x:patternFill patternType="solid">
        <x:fgColor rgb="FFFFF1D5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370b022264592" /><Relationship Type="http://schemas.openxmlformats.org/officeDocument/2006/relationships/theme" Target="/xl/theme/theme1.xml" Id="Re37d7881037a4259" /><Relationship Type="http://schemas.openxmlformats.org/officeDocument/2006/relationships/sharedStrings" Target="/xl/sharedStrings.xml" Id="R3a4e243b6b3c40f2" /><Relationship Type="http://schemas.openxmlformats.org/officeDocument/2006/relationships/worksheet" Target="/xl/worksheets/sheet1.xml" Id="R3e513b7629634d2a" /><Relationship Type="http://schemas.openxmlformats.org/officeDocument/2006/relationships/worksheet" Target="/xl/worksheets/sheet2.xml" Id="R8c5fd3e043db49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0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40" customHeight="1">
      <x:c r="A1" s="3" t="str">
        <x:v>키 기반 번역 미리보기</x:v>
      </x:c>
      <x:c r="B1" s="3"/>
      <x:c r="C1" s="1"/>
      <x:c r="D1" s="1"/>
      <x:c r="E1" s="1"/>
      <x:c r="F1" s="1"/>
      <x:c r="G1" s="1"/>
    </x:row>
    <x:row r="2" ht="45" customHeight="1">
      <x:c r="A2" s="4" t="str">
        <x:v>키로 문장을 조회한 뒤 공통 수치 인자를 치환 · 시트의 수식 견본이며 게임 실행 연결은 아직 없음</x:v>
      </x:c>
      <x:c r="B2" s="4"/>
      <x:c r="C2" s="1"/>
      <x:c r="D2" s="1"/>
      <x:c r="E2" s="1"/>
      <x:c r="F2" s="1"/>
      <x:c r="G2" s="1"/>
    </x:row>
    <x:row r="3" ht="25" customHeight="1">
      <x:c r="A3" s="1"/>
      <x:c r="B3" s="1"/>
      <x:c r="C3" s="1"/>
      <x:c r="D3" s="1"/>
      <x:c r="E3" s="1"/>
      <x:c r="F3" s="1"/>
      <x:c r="G3" s="1"/>
    </x:row>
    <x:row r="4" ht="25" customHeight="1">
      <x:c r="A4" s="1" t="str">
        <x:v>설명 키</x:v>
      </x:c>
      <x:c r="B4" s="11" t="str">
        <x:v>relic.last_stand.description</x:v>
      </x:c>
      <x:c r="C4" s="1"/>
      <x:c r="D4" s="1"/>
      <x:c r="E4" s="1"/>
      <x:c r="F4" s="1"/>
      <x:c r="G4" s="1"/>
    </x:row>
    <x:row r="5" ht="25" customHeight="1">
      <x:c r="A5" s="1" t="str">
        <x:v>인자 이름</x:v>
      </x:c>
      <x:c r="B5" s="1" t="str">
        <x:v>threshold</x:v>
      </x:c>
      <x:c r="C5" s="1"/>
      <x:c r="D5" s="1"/>
      <x:c r="E5" s="1"/>
      <x:c r="F5" s="1"/>
      <x:c r="G5" s="1"/>
    </x:row>
    <x:row r="6" ht="25" customHeight="1">
      <x:c r="A6" s="1" t="str">
        <x:v>인자 값 (Lv.3)</x:v>
      </x:c>
      <x:c r="B6" s="11" t="n">
        <x:v>3</x:v>
      </x:c>
      <x:c r="C6" s="1"/>
      <x:c r="D6" s="1"/>
      <x:c r="E6" s="1"/>
      <x:c r="F6" s="1"/>
      <x:c r="G6" s="1"/>
    </x:row>
    <x:row r="7" ht="25" customHeight="1">
      <x:c r="A7" s="1"/>
      <x:c r="B7" s="1"/>
      <x:c r="C7" s="1"/>
      <x:c r="D7" s="1"/>
      <x:c r="E7" s="1"/>
      <x:c r="F7" s="1"/>
      <x:c r="G7" s="1"/>
    </x:row>
    <x:row r="8" ht="40" customHeight="1">
      <x:c r="A8" s="7" t="str">
        <x:v>언어</x:v>
      </x:c>
      <x:c r="B8" s="7" t="str">
        <x:v>조회 + 숫자 치환 결과</x:v>
      </x:c>
      <x:c r="C8" s="1"/>
      <x:c r="D8" s="1"/>
      <x:c r="E8" s="1"/>
      <x:c r="F8" s="1"/>
      <x:c r="G8" s="1"/>
    </x:row>
    <x:row r="9" ht="65" customHeight="1">
      <x:c r="A9" s="1" t="str">
        <x:v>ko</x:v>
      </x:c>
      <x:c r="B9" s="4" t="str">
        <x:f>SUBSTITUTE(VLOOKUP($B$4,'번역 원문'!$A$5:$F$9,2,FALSE),"{"&amp;$B$5&amp;"}",$B$6)</x:f>
        <x:v>현재 체력이 3 이하일 경우 모든 공격이 반드시 치명타로 적중.</x:v>
      </x:c>
      <x:c r="C9" s="1"/>
      <x:c r="D9" s="1"/>
      <x:c r="E9" s="1"/>
      <x:c r="F9" s="1"/>
      <x:c r="G9" s="1"/>
    </x:row>
    <x:row r="10" ht="65" customHeight="1">
      <x:c r="A10" s="1" t="str">
        <x:v>en</x:v>
      </x:c>
      <x:c r="B10" s="4" t="str">
        <x:f>SUBSTITUTE(VLOOKUP($B$4,'번역 원문'!$A$5:$F$9,3,FALSE),"{"&amp;$B$5&amp;"}",$B$6)</x:f>
        <x:v>All attacks are guaranteed critical hits while current HP is 3 or lower.</x:v>
      </x:c>
      <x:c r="C10" s="1"/>
      <x:c r="D10" s="1"/>
      <x:c r="E10" s="1"/>
      <x:c r="F10" s="1"/>
      <x:c r="G10" s="1"/>
    </x:row>
    <x:row r="11" ht="65" customHeight="1">
      <x:c r="A11" s="1" t="str">
        <x:v>ja</x:v>
      </x:c>
      <x:c r="B11" s="4" t="str">
        <x:f>SUBSTITUTE(VLOOKUP($B$4,'번역 원문'!$A$5:$F$9,4,FALSE),"{"&amp;$B$5&amp;"}",$B$6)</x:f>
        <x:v>現在のHPが3以下の場合、すべての攻撃が必ずクリティカルになる。</x:v>
      </x:c>
      <x:c r="C11" s="1"/>
      <x:c r="D11" s="1"/>
      <x:c r="E11" s="1"/>
      <x:c r="F11" s="1"/>
      <x:c r="G11" s="1"/>
    </x:row>
    <x:row r="12" ht="65" customHeight="1">
      <x:c r="A12" s="1" t="str">
        <x:v>zh-Hans</x:v>
      </x:c>
      <x:c r="B12" s="4" t="str">
        <x:f>SUBSTITUTE(VLOOKUP($B$4,'번역 원문'!$A$5:$F$9,5,FALSE),"{"&amp;$B$5&amp;"}",$B$6)</x:f>
        <x:v>当前生命值不高于3时，所有攻击必定暴击。</x:v>
      </x:c>
      <x:c r="C12" s="1"/>
      <x:c r="D12" s="1"/>
      <x:c r="E12" s="1"/>
      <x:c r="F12" s="1"/>
      <x:c r="G12" s="1"/>
    </x:row>
    <x:row r="13" ht="65" customHeight="1">
      <x:c r="A13" s="1" t="str">
        <x:v>zh-Hant</x:v>
      </x:c>
      <x:c r="B13" s="4" t="str">
        <x:f>SUBSTITUTE(VLOOKUP($B$4,'번역 원문'!$A$5:$F$9,6,FALSE),"{"&amp;$B$5&amp;"}",$B$6)</x:f>
        <x:v>目前生命值不高於3時，所有攻擊必定暴擊。</x:v>
      </x:c>
      <x:c r="C13" s="1"/>
      <x:c r="D13" s="1"/>
      <x:c r="E13" s="1"/>
      <x:c r="F13" s="1"/>
      <x:c r="G13" s="1"/>
    </x:row>
    <x:row r="14" ht="25" customHeight="1">
      <x:c r="A14" s="1"/>
      <x:c r="B14" s="1"/>
      <x:c r="C14" s="1"/>
      <x:c r="D14" s="1"/>
      <x:c r="E14" s="1"/>
      <x:c r="F14" s="1"/>
      <x:c r="G14" s="1"/>
    </x:row>
    <x:row r="15" ht="25" customHeight="1">
      <x:c r="A15" s="1"/>
      <x:c r="B15" s="1"/>
      <x:c r="C15" s="1"/>
      <x:c r="D15" s="1"/>
      <x:c r="E15" s="1"/>
      <x:c r="F15" s="1"/>
      <x:c r="G15" s="1"/>
    </x:row>
    <x:row r="16" ht="25" customHeight="1">
      <x:c r="A16" s="1" t="str">
        <x:v>NPC 대사 키</x:v>
      </x:c>
      <x:c r="B16" s="11" t="str">
        <x:v>dialogue.merchant.001</x:v>
      </x:c>
      <x:c r="C16" s="1"/>
      <x:c r="D16" s="1"/>
      <x:c r="E16" s="1"/>
      <x:c r="F16" s="1"/>
      <x:c r="G16" s="1"/>
    </x:row>
    <x:row r="17" ht="60" customHeight="1">
      <x:c r="A17" s="1" t="str">
        <x:v>ko</x:v>
      </x:c>
      <x:c r="B17" s="4" t="str">
        <x:f>VLOOKUP($B$16,'번역 원문'!$A$5:$F$9,2,FALSE)</x:f>
        <x:v>어서 와, 용사님! 오늘도 반짝반짝한 마정석은 두둑하게 챙겨 왔지?</x:v>
      </x:c>
      <x:c r="C17" s="1"/>
      <x:c r="D17" s="1"/>
      <x:c r="E17" s="1"/>
      <x:c r="F17" s="1"/>
      <x:c r="G17" s="1"/>
    </x:row>
    <x:row r="18" ht="60" customHeight="1">
      <x:c r="A18" s="1" t="str">
        <x:v>ja</x:v>
      </x:c>
      <x:c r="B18" s="4" t="str">
        <x:f>VLOOKUP($B$16,'번역 원문'!$A$5:$F$9,4,FALSE)</x:f>
        <x:v>いらっしゃい、勇者さん！今日もキラキラの魔晶石をたっぷり持ってきたよね？</x:v>
      </x:c>
      <x:c r="C18" s="1"/>
      <x:c r="D18" s="1"/>
      <x:c r="E18" s="1"/>
      <x:c r="F18" s="1"/>
      <x:c r="G18" s="1"/>
    </x:row>
    <x:row r="19" ht="25" customHeight="1">
      <x:c r="A19" s="1"/>
      <x:c r="B19" s="1"/>
      <x:c r="C19" s="1"/>
      <x:c r="D19" s="1"/>
      <x:c r="E19" s="1"/>
      <x:c r="F19" s="1"/>
      <x:c r="G19" s="1"/>
    </x:row>
    <x:row r="20" ht="25" customHeight="1">
      <x:c r="A20" s="1"/>
      <x:c r="B20" s="1"/>
      <x:c r="C20" s="1"/>
      <x:c r="D20" s="1"/>
      <x:c r="E20" s="1"/>
      <x:c r="F20" s="1"/>
      <x:c r="G20" s="1"/>
    </x:row>
    <x:row r="21" ht="25" customHeight="1">
      <x:c r="A21" s="4" t="str">
        <x:v>한국어는 기존 견본 원문. 영/일/중은 검토 전 초안. threshold=3은 유물 레벨별 데이터에서 가져온 값이며 모든 언어가 같은 값을 사용. 미등록 키는 #N/A로 드러남.</x:v>
      </x:c>
      <x:c r="B21" s="4"/>
      <x:c r="C21" s="1"/>
      <x:c r="D21" s="1"/>
      <x:c r="E21" s="1"/>
      <x:c r="F21" s="1"/>
      <x:c r="G21" s="1"/>
    </x:row>
    <x:row r="22" ht="25" customHeight="1">
      <x:c r="A22" s="4"/>
      <x:c r="B22" s="4"/>
      <x:c r="C22" s="1"/>
      <x:c r="D22" s="1"/>
      <x:c r="E22" s="1"/>
      <x:c r="F22" s="1"/>
      <x:c r="G22" s="1"/>
    </x:row>
    <x:row r="23" ht="25" customHeight="1">
      <x:c r="A23" s="1"/>
      <x:c r="B23" s="1"/>
      <x:c r="C23" s="1"/>
      <x:c r="D23" s="1"/>
      <x:c r="E23" s="1"/>
      <x:c r="F23" s="1"/>
      <x:c r="G23" s="1"/>
    </x:row>
    <x:row r="24" ht="25" customHeight="1">
      <x:c r="A24" s="1"/>
      <x:c r="B24" s="1"/>
      <x:c r="C24" s="1"/>
      <x:c r="D24" s="1"/>
      <x:c r="E24" s="1"/>
      <x:c r="F24" s="1"/>
      <x:c r="G24" s="1"/>
    </x:row>
    <x:row r="25" ht="25" customHeight="1">
      <x:c r="A25" s="1"/>
      <x:c r="B25" s="1"/>
      <x:c r="C25" s="1"/>
      <x:c r="D25" s="1"/>
      <x:c r="E25" s="1"/>
      <x:c r="F25" s="1"/>
      <x:c r="G25" s="1"/>
    </x:row>
  </x:sheetData>
  <x:mergeCells>
    <x:mergeCell ref="A1:B1"/>
    <x:mergeCell ref="A2:B2"/>
    <x:mergeCell ref="A21:B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24" hidden="0" customWidth="1"/>
    <x:col min="8" max="8" width="14" hidden="0" customWidth="1"/>
  </x:cols>
  <x:sheetData>
    <x:row r="1" ht="40" customHeight="1">
      <x:c r="A1" s="3" t="str">
        <x:v>고정 키 × 5개 언어</x:v>
      </x:c>
      <x:c r="B1" s="3"/>
      <x:c r="C1" s="3"/>
      <x:c r="D1" s="3"/>
      <x:c r="E1" s="3"/>
      <x:c r="F1" s="3"/>
      <x:c r="G1" s="3"/>
      <x:c r="H1" s="3"/>
    </x:row>
    <x:row r="2" ht="45" customHeight="1">
      <x:c r="A2" s="4" t="str">
        <x:v>한 행은 하나의 문장 · 키는 문장 재정렬에도 유지 · 숫자 인자와 Ink 분기/태그는 번역하지 않음</x:v>
      </x:c>
      <x:c r="B2" s="4"/>
      <x:c r="C2" s="4"/>
      <x:c r="D2" s="4"/>
      <x:c r="E2" s="4"/>
      <x:c r="F2" s="4"/>
      <x:c r="G2" s="4"/>
      <x:c r="H2" s="4"/>
    </x:row>
    <x:row r="3" ht="25" customHeight="1">
      <x:c r="A3" s="1"/>
      <x:c r="B3" s="1"/>
      <x:c r="C3" s="1"/>
      <x:c r="D3" s="1"/>
      <x:c r="E3" s="1"/>
      <x:c r="F3" s="1"/>
      <x:c r="G3" s="1"/>
      <x:c r="H3" s="1"/>
    </x:row>
    <x:row r="4" ht="40" customHeight="1">
      <x:c r="A4" s="7" t="str">
        <x:v>key</x:v>
      </x:c>
      <x:c r="B4" s="7" t="str">
        <x:v>ko</x:v>
      </x:c>
      <x:c r="C4" s="7" t="str">
        <x:v>en</x:v>
      </x:c>
      <x:c r="D4" s="7" t="str">
        <x:v>ja</x:v>
      </x:c>
      <x:c r="E4" s="7" t="str">
        <x:v>zh-Hans</x:v>
      </x:c>
      <x:c r="F4" s="7" t="str">
        <x:v>zh-Hant</x:v>
      </x:c>
      <x:c r="G4" s="7" t="str">
        <x:v>문맥 / 연결</x:v>
      </x:c>
      <x:c r="H4" s="7" t="str">
        <x:v>검토 상태</x:v>
      </x:c>
    </x:row>
    <x:row r="5" ht="90" customHeight="1">
      <x:c r="A5" s="4" t="str">
        <x:v>weapon.odd_iron.description</x:v>
      </x:c>
      <x:c r="B5" s="9" t="str">
        <x:v>&lt;color=#96DCFA&gt;재장전은 없다. 여섯 발이 끝나면, 이제 던질 일만 남은 기묘한 쇳덩이.&lt;/color&gt;</x:v>
      </x:c>
      <x:c r="C5" s="9" t="str">
        <x:v>&lt;color=#96DCFA&gt;No reloading. Once the six shots are spent, all that remains is to throw this odd lump of iron.&lt;/color&gt;</x:v>
      </x:c>
      <x:c r="D5" s="9" t="str">
        <x:v>&lt;color=#96DCFA&gt;リロードはできない。六発撃ち終えたら、あとは投げるしかない奇妙な鉄の塊。&lt;/color&gt;</x:v>
      </x:c>
      <x:c r="E5" s="9" t="str">
        <x:v>&lt;color=#96DCFA&gt;无法装填。六发打完，这块奇怪的铁疙瘩就只剩扔出去的份了。&lt;/color&gt;</x:v>
      </x:c>
      <x:c r="F5" s="9" t="str">
        <x:v>&lt;color=#96DCFA&gt;無法裝填。六發打完，這塊奇怪的鐵疙瘩就只剩扔出去的份了。&lt;/color&gt;</x:v>
      </x:c>
      <x:c r="G5" s="4" t="str">
        <x:v>Weapon.OddIron / storyText</x:v>
      </x:c>
      <x:c r="H5" s="4" t="str">
        <x:v>번역 초안</x:v>
      </x:c>
    </x:row>
    <x:row r="6" ht="90" customHeight="1">
      <x:c r="A6" s="4" t="str">
        <x:v>relic.last_stand.description</x:v>
      </x:c>
      <x:c r="B6" s="9" t="str">
        <x:v>현재 체력이 {threshold} 이하일 경우 모든 공격이 반드시 치명타로 적중.</x:v>
      </x:c>
      <x:c r="C6" s="9" t="str">
        <x:v>All attacks are guaranteed critical hits while current HP is {threshold} or lower.</x:v>
      </x:c>
      <x:c r="D6" s="9" t="str">
        <x:v>現在のHPが{threshold}以下の場合、すべての攻撃が必ずクリティカルになる。</x:v>
      </x:c>
      <x:c r="E6" s="9" t="str">
        <x:v>当前生命值不高于{threshold}时，所有攻击必定暴击。</x:v>
      </x:c>
      <x:c r="F6" s="9" t="str">
        <x:v>目前生命值不高於{threshold}時，所有攻擊必定暴擊。</x:v>
      </x:c>
      <x:c r="G6" s="4" t="str">
        <x:v>RD_LastStand / effectTemplate</x:v>
      </x:c>
      <x:c r="H6" s="4" t="str">
        <x:v>번역 초안</x:v>
      </x:c>
    </x:row>
    <x:row r="7" ht="90" customHeight="1">
      <x:c r="A7" s="4" t="str">
        <x:v>dialogue.merchant.001</x:v>
      </x:c>
      <x:c r="B7" s="9" t="str">
        <x:v>어서 와, 용사님! 오늘도 반짝반짝한 마정석은 두둑하게 챙겨 왔지?</x:v>
      </x:c>
      <x:c r="C7" s="9" t="str">
        <x:v>Welcome, hero! Got plenty of shiny magic stones with you today?</x:v>
      </x:c>
      <x:c r="D7" s="9" t="str">
        <x:v>いらっしゃい、勇者さん！今日もキラキラの魔晶石をたっぷり持ってきたよね？</x:v>
      </x:c>
      <x:c r="E7" s="9" t="str">
        <x:v>欢迎，勇者！今天也带了不少闪闪发亮的魔晶石吧？</x:v>
      </x:c>
      <x:c r="F7" s="9" t="str">
        <x:v>歡迎，勇者！今天也帶了不少閃閃發亮的魔晶石吧？</x:v>
      </x:c>
      <x:c r="G7" s="4" t="str">
        <x:v>사샤 1001 / Ink 대사</x:v>
      </x:c>
      <x:c r="H7" s="4" t="str">
        <x:v>번역 초안</x:v>
      </x:c>
    </x:row>
    <x:row r="8" ht="90" customHeight="1">
      <x:c r="A8" s="4" t="str">
        <x:v>dialogue.merchant.003</x:v>
      </x:c>
      <x:c r="B8" s="9" t="str">
        <x:v>오늘은 뭘 파는데?</x:v>
      </x:c>
      <x:c r="C8" s="9" t="str">
        <x:v>What are you selling today?</x:v>
      </x:c>
      <x:c r="D8" s="9" t="str">
        <x:v>今日は何を売ってるの？</x:v>
      </x:c>
      <x:c r="E8" s="9" t="str">
        <x:v>今天卖些什么？</x:v>
      </x:c>
      <x:c r="F8" s="9" t="str">
        <x:v>今天賣些什麼？</x:v>
      </x:c>
      <x:c r="G8" s="4" t="str">
        <x:v>사샤 1001 / Ink 선택지</x:v>
      </x:c>
      <x:c r="H8" s="4" t="str">
        <x:v>번역 초안</x:v>
      </x:c>
    </x:row>
    <x:row r="9" ht="90" customHeight="1">
      <x:c r="A9" s="4" t="str">
        <x:v>dialogue.merchant.006</x:v>
      </x:c>
      <x:c r="B9" s="9" t="str">
        <x:v>그냥 구경만 할게.</x:v>
      </x:c>
      <x:c r="C9" s="9" t="str">
        <x:v>I am just looking.</x:v>
      </x:c>
      <x:c r="D9" s="9" t="str">
        <x:v>見るだけにしておくよ。</x:v>
      </x:c>
      <x:c r="E9" s="9" t="str">
        <x:v>我只是看看。</x:v>
      </x:c>
      <x:c r="F9" s="9" t="str">
        <x:v>我只是看看。</x:v>
      </x:c>
      <x:c r="G9" s="4" t="str">
        <x:v>사샤 1001 / Ink 선택지</x:v>
      </x:c>
      <x:c r="H9" s="4" t="str">
        <x:v>번역 초안</x:v>
      </x:c>
    </x:row>
    <x:row r="10" ht="25" customHeight="1">
      <x:c r="A10" s="1"/>
      <x:c r="B10" s="1"/>
      <x:c r="C10" s="1"/>
      <x:c r="D10" s="1"/>
      <x:c r="E10" s="1"/>
      <x:c r="F10" s="1"/>
      <x:c r="G10" s="1"/>
      <x:c r="H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</x:row>
    <x:row r="12" ht="25" customHeight="1">
      <x:c r="A12" s="1"/>
      <x:c r="B12" s="1"/>
      <x:c r="C12" s="1"/>
      <x:c r="D12" s="1"/>
      <x:c r="E12" s="1"/>
      <x:c r="F12" s="1"/>
      <x:c r="G12" s="1"/>
      <x:c r="H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</x:row>
    <x:row r="15" ht="25" customHeight="1">
      <x:c r="A15" s="1"/>
      <x:c r="B15" s="1"/>
      <x:c r="C15" s="1"/>
      <x:c r="D15" s="1"/>
      <x:c r="E15" s="1"/>
      <x:c r="F15" s="1"/>
      <x:c r="G15" s="1"/>
      <x:c r="H15" s="1"/>
    </x:row>
    <x:row r="16" ht="25" customHeight="1">
      <x:c r="A16" s="1"/>
      <x:c r="B16" s="1"/>
      <x:c r="C16" s="1"/>
      <x:c r="D16" s="1"/>
      <x:c r="E16" s="1"/>
      <x:c r="F16" s="1"/>
      <x:c r="G16" s="1"/>
      <x:c r="H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</x:row>
  </x:sheetData>
  <x:mergeCells>
    <x:mergeCell ref="A1:H1"/>
    <x:mergeCell ref="A2:H2"/>
  </x:mergeCells>
  <x:pageMargins left="0.7" right="0.7" top="0.75" bottom="0.75" header="0.3" footer="0.3"/>
</x:worksheet>
</file>